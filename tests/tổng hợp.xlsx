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3676186-2197-45F1-A57B-8F60F95CCD7B}" xr6:coauthVersionLast="47" xr6:coauthVersionMax="47" xr10:uidLastSave="{00000000-0000-0000-0000-000000000000}"/>
  <bookViews>
    <workbookView xWindow="-120" yWindow="-120" windowWidth="20730" windowHeight="11040" xr2:uid="{68995242-1F03-41D5-AFEE-413B5D74F209}"/>
  </bookViews>
  <sheets>
    <sheet name="Tổng hợp" sheetId="2" r:id="rId1"/>
  </sheets>
  <externalReferences>
    <externalReference r:id="rId2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D25" i="2"/>
  <c r="E25" i="2"/>
  <c r="D26" i="2"/>
  <c r="E26" i="2"/>
  <c r="D27" i="2"/>
  <c r="E27" i="2"/>
  <c r="D28" i="2"/>
  <c r="E28" i="2"/>
  <c r="F28" i="2" l="1"/>
  <c r="J12" i="2"/>
  <c r="F27" i="2"/>
  <c r="F25" i="2"/>
  <c r="F26" i="2"/>
  <c r="B31" i="2" l="1"/>
</calcChain>
</file>

<file path=xl/sharedStrings.xml><?xml version="1.0" encoding="utf-8"?>
<sst xmlns="http://schemas.openxmlformats.org/spreadsheetml/2006/main" count="63" uniqueCount="53">
  <si>
    <t>Nhận xét về độ bao phủ</t>
  </si>
  <si>
    <t>Hướng sửa (method / file)</t>
  </si>
  <si>
    <t>Phân tích nguyên nhân</t>
  </si>
  <si>
    <t>Lỗi nghiêm trọng nhất</t>
  </si>
  <si>
    <t>Tổng hợp số liệu</t>
  </si>
  <si>
    <t>3. Khung báo cáo kết quả (mẫu C6-D2), điền ở K4 trước 21:00 09/10</t>
  </si>
  <si>
    <t>Low</t>
  </si>
  <si>
    <t>Medium</t>
  </si>
  <si>
    <t>High</t>
  </si>
  <si>
    <t>Critical</t>
  </si>
  <si>
    <t>Chưa sửa</t>
  </si>
  <si>
    <t>Đã sửa</t>
  </si>
  <si>
    <t>Số bug</t>
  </si>
  <si>
    <t>Mức độ</t>
  </si>
  <si>
    <t>2. Bug theo mức độ nghiêm trọng</t>
  </si>
  <si>
    <t>Phi chức năng</t>
  </si>
  <si>
    <t>Alternative flow</t>
  </si>
  <si>
    <t>Boundary</t>
  </si>
  <si>
    <t>Negative</t>
  </si>
  <si>
    <t>Happy path</t>
  </si>
  <si>
    <t>FAIL</t>
  </si>
  <si>
    <t>PASS</t>
  </si>
  <si>
    <t>Tổng TC</t>
  </si>
  <si>
    <t>Loại</t>
  </si>
  <si>
    <t>1. Theo loại test case</t>
  </si>
  <si>
    <t>Toàn nhóm (8 UC)</t>
  </si>
  <si>
    <t>TỔNG</t>
  </si>
  <si>
    <t>Duy</t>
  </si>
  <si>
    <t>Lập hóa đơn</t>
  </si>
  <si>
    <t>UC08</t>
  </si>
  <si>
    <t>Đánh dấu hết nguyên liệu</t>
  </si>
  <si>
    <t>UC18</t>
  </si>
  <si>
    <t>Cập nhật trạng thái chế biến</t>
  </si>
  <si>
    <t>UC16</t>
  </si>
  <si>
    <t>Hiển thị danh sách đơn hàng (KDS)</t>
  </si>
  <si>
    <t>UC15</t>
  </si>
  <si>
    <t>Kiệt</t>
  </si>
  <si>
    <t>Thanh toán hóa đơn (UC10.1 tiền mặt, UC10.2 QR giả lập)</t>
  </si>
  <si>
    <t>UC10</t>
  </si>
  <si>
    <t>Cập nhật order (gọi thêm, sửa, hủy món)</t>
  </si>
  <si>
    <t>UC04</t>
  </si>
  <si>
    <t>Tạo và gửi order</t>
  </si>
  <si>
    <t>UC01</t>
  </si>
  <si>
    <t>Đăng nhập hệ thống</t>
  </si>
  <si>
    <t>UC21</t>
  </si>
  <si>
    <t>Tỉ lệ pass (%)</t>
  </si>
  <si>
    <t>Chưa chạy</t>
  </si>
  <si>
    <t>Đã chạy</t>
  </si>
  <si>
    <t>Người test</t>
  </si>
  <si>
    <t>Tên UC</t>
  </si>
  <si>
    <t>UC</t>
  </si>
  <si>
    <t>TỔNG HỢP KẾT QUẢ KIỂM THỬ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</si>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</sst>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b/>
      <sz val="14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/>
    <xf numFmtId="0" fontId="3" fillId="3" borderId="1" xfId="1" applyFont="1" applyFill="1" applyBorder="1" applyAlignment="1">
      <alignment vertical="top" wrapText="1"/>
    </xf>
    <xf numFmtId="0" fontId="2" fillId="0" borderId="1" xfId="1" applyFont="1" applyBorder="1" applyAlignment="1">
      <alignment vertical="top" wrapText="1"/>
    </xf>
    <xf numFmtId="0" fontId="4" fillId="0" borderId="0" xfId="1" applyFont="1"/>
    <xf numFmtId="0" fontId="2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vertical="top" wrapText="1"/>
    </xf>
    <xf numFmtId="0" fontId="5" fillId="4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top" wrapText="1"/>
    </xf>
    <xf numFmtId="164" fontId="3" fillId="3" borderId="1" xfId="1" applyNumberFormat="1" applyFont="1" applyFill="1" applyBorder="1" applyAlignment="1">
      <alignment horizontal="center" vertical="top" wrapText="1"/>
    </xf>
    <xf numFmtId="0" fontId="2" fillId="3" borderId="1" xfId="1" applyFont="1" applyFill="1" applyBorder="1" applyAlignment="1">
      <alignment vertical="top" wrapText="1"/>
    </xf>
    <xf numFmtId="164" fontId="2" fillId="0" borderId="1" xfId="1" applyNumberFormat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6" fillId="0" borderId="0" xfId="1" applyFont="1"/>
    <xf numFmtId="0" fontId="2" fillId="0" borderId="1" xfId="1" applyFont="1" applyBorder="1" applyAlignment="1">
      <alignment vertical="top" wrapText="1"/>
    </xf>
    <xf numFmtId="0" fontId="2" fillId="2" borderId="1" xfId="1" applyFont="1" applyFill="1" applyBorder="1" applyAlignment="1">
      <alignment vertical="top" wrapText="1"/>
    </xf>
  </cellXfs>
  <cellStyles count="2">
    <cellStyle name="Normal" xfId="0" builtinId="0"/>
    <cellStyle name="Normal 2" xfId="1" xr:uid="{2B078BA0-1483-4B76-9476-BFD5830B9A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Bug%20report.xlsx" TargetMode="External"/><Relationship Id="rId1" Type="http://schemas.openxmlformats.org/officeDocument/2006/relationships/externalLinkPath" Target="Bug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g Report"/>
    </sheetNames>
    <sheetDataSet>
      <sheetData sheetId="0">
        <row r="1">
          <cell r="A1" t="str">
            <v>7 cột đầu (nền xanh đậm) là các trường bắt buộc của C6-D2. 3 cột cam là theo dõi nội bộ. Mỗi TC FAIL viết 1 dòng; Bug ID dạng BUG-N5-001; "Kết quả thực tế" và "Kết quả mong đợi" chép đúng Actual/Expected trong Test Case. Dòng 3 chỉ là ví dụ, bỏ qua khi đếm.</v>
          </cell>
        </row>
        <row r="2">
          <cell r="A2" t="str">
            <v>Bug ID</v>
          </cell>
          <cell r="B2" t="str">
            <v>Related TC</v>
          </cell>
          <cell r="G2" t="str">
            <v>Mức độ nghiêm trọng</v>
          </cell>
          <cell r="I2" t="str">
            <v>Trạng thái</v>
          </cell>
        </row>
        <row r="3">
          <cell r="A3" t="str">
            <v>VÍ DỤ (xóa dòng này)</v>
          </cell>
          <cell r="B3" t="str">
            <v>TC-01-07</v>
          </cell>
          <cell r="G3" t="str">
            <v>High</v>
          </cell>
          <cell r="I3" t="str">
            <v>Mới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22781-CC15-4775-AB62-906F79C8FD42}">
  <sheetPr>
    <tabColor rgb="FF548235"/>
  </sheetPr>
  <dimension ref="A1:J35"/>
  <sheetViews>
    <sheetView showGridLines="0" tabSelected="1" zoomScale="90" zoomScaleNormal="90" workbookViewId="0">
      <selection activeCell="F20" sqref="D16:F20"/>
    </sheetView>
  </sheetViews>
  <sheetFormatPr defaultColWidth="8.7109375" defaultRowHeight="15" x14ac:dyDescent="0.25"/>
  <cols>
    <col min="1" max="1" width="18" style="1" customWidth="1"/>
    <col min="2" max="2" width="44" style="1" customWidth="1"/>
    <col min="3" max="3" width="14" style="1" customWidth="1"/>
    <col min="4" max="8" width="12" style="1" customWidth="1"/>
    <col min="9" max="9" width="16" style="1" customWidth="1"/>
    <col min="10" max="10" width="12" style="1" customWidth="1"/>
    <col min="11" max="16384" width="8.7109375" style="1"/>
  </cols>
  <sheetData>
    <row r="1" spans="1:10" ht="18" x14ac:dyDescent="0.25">
      <c r="A1" s="13" t="s">
        <v>51</v>
      </c>
    </row>
    <row r="3" spans="1:10" ht="31.5" customHeight="1" x14ac:dyDescent="0.25">
      <c r="A3" s="7" t="s">
        <v>50</v>
      </c>
      <c r="B3" s="7" t="s">
        <v>49</v>
      </c>
      <c r="C3" s="7" t="s">
        <v>48</v>
      </c>
      <c r="D3" s="7" t="s">
        <v>22</v>
      </c>
      <c r="E3" s="7" t="s">
        <v>47</v>
      </c>
      <c r="F3" s="7" t="s">
        <v>21</v>
      </c>
      <c r="G3" s="7" t="s">
        <v>20</v>
      </c>
      <c r="H3" s="7" t="s">
        <v>46</v>
      </c>
      <c r="I3" s="7" t="s">
        <v>45</v>
      </c>
      <c r="J3" s="7" t="s">
        <v>12</v>
      </c>
    </row>
    <row r="4" spans="1:10" x14ac:dyDescent="0.25">
      <c r="A4" s="12" t="s">
        <v>44</v>
      </c>
      <c r="B4" s="3" t="s">
        <v>43</v>
      </c>
      <c r="C4" s="5" t="s">
        <v>36</v>
      </c>
      <c r="D4" s="5"/>
      <c r="E4" s="5"/>
      <c r="F4" s="5"/>
      <c r="G4" s="5"/>
      <c r="H4" s="5"/>
      <c r="I4" s="11"/>
      <c r="J4" s="5">
        <f>COUNTIFS('[1]Bug Report'!$A:$A,"BUG-N5-*",'[1]Bug Report'!$B:$B,"TC-"&amp;RIGHT($A4,2)&amp;"-*")</f>
        <v>0</v>
      </c>
    </row>
    <row r="5" spans="1:10" x14ac:dyDescent="0.25">
      <c r="A5" s="12" t="s">
        <v>42</v>
      </c>
      <c r="B5" s="3" t="s">
        <v>41</v>
      </c>
      <c r="C5" s="5" t="s">
        <v>36</v>
      </c>
      <c r="D5" s="5"/>
      <c r="E5" s="5"/>
      <c r="F5" s="5"/>
      <c r="G5" s="5"/>
      <c r="H5" s="5"/>
      <c r="I5" s="11"/>
      <c r="J5" s="5">
        <f>COUNTIFS('[1]Bug Report'!$A:$A,"BUG-N5-*",'[1]Bug Report'!$B:$B,"TC-"&amp;RIGHT($A5,2)&amp;"-*")</f>
        <v>0</v>
      </c>
    </row>
    <row r="6" spans="1:10" x14ac:dyDescent="0.25">
      <c r="A6" s="12" t="s">
        <v>40</v>
      </c>
      <c r="B6" s="3" t="s">
        <v>39</v>
      </c>
      <c r="C6" s="5" t="s">
        <v>36</v>
      </c>
      <c r="D6" s="5"/>
      <c r="E6" s="5"/>
      <c r="F6" s="5"/>
      <c r="G6" s="5"/>
      <c r="H6" s="5"/>
      <c r="I6" s="11"/>
      <c r="J6" s="5">
        <f>COUNTIFS('[1]Bug Report'!$A:$A,"BUG-N5-*",'[1]Bug Report'!$B:$B,"TC-"&amp;RIGHT($A6,2)&amp;"-*")</f>
        <v>0</v>
      </c>
    </row>
    <row r="7" spans="1:10" ht="25.5" x14ac:dyDescent="0.25">
      <c r="A7" s="12" t="s">
        <v>38</v>
      </c>
      <c r="B7" s="3" t="s">
        <v>37</v>
      </c>
      <c r="C7" s="5" t="s">
        <v>36</v>
      </c>
      <c r="D7" s="5"/>
      <c r="E7" s="5"/>
      <c r="F7" s="5"/>
      <c r="G7" s="5"/>
      <c r="H7" s="5"/>
      <c r="I7" s="11"/>
      <c r="J7" s="5">
        <f>COUNTIFS('[1]Bug Report'!$A:$A,"BUG-N5-*",'[1]Bug Report'!$B:$B,"TC-"&amp;RIGHT($A7,2)&amp;"-*")</f>
        <v>0</v>
      </c>
    </row>
    <row r="8" spans="1:10" x14ac:dyDescent="0.25">
      <c r="A8" s="12" t="s">
        <v>35</v>
      </c>
      <c r="B8" s="3" t="s">
        <v>34</v>
      </c>
      <c r="C8" s="5" t="s">
        <v>27</v>
      </c>
      <c r="D8" s="5"/>
      <c r="E8" s="5"/>
      <c r="F8" s="5"/>
      <c r="G8" s="5"/>
      <c r="H8" s="5"/>
      <c r="I8" s="11"/>
      <c r="J8" s="5">
        <f>COUNTIFS('[1]Bug Report'!$A:$A,"BUG-N5-*",'[1]Bug Report'!$B:$B,"TC-"&amp;RIGHT($A8,2)&amp;"-*")</f>
        <v>0</v>
      </c>
    </row>
    <row r="9" spans="1:10" x14ac:dyDescent="0.25">
      <c r="A9" s="12" t="s">
        <v>33</v>
      </c>
      <c r="B9" s="3" t="s">
        <v>32</v>
      </c>
      <c r="C9" s="5" t="s">
        <v>27</v>
      </c>
      <c r="D9" s="5"/>
      <c r="E9" s="5"/>
      <c r="F9" s="5"/>
      <c r="G9" s="5"/>
      <c r="H9" s="5"/>
      <c r="I9" s="11"/>
      <c r="J9" s="5">
        <f>COUNTIFS('[1]Bug Report'!$A:$A,"BUG-N5-*",'[1]Bug Report'!$B:$B,"TC-"&amp;RIGHT($A9,2)&amp;"-*")</f>
        <v>0</v>
      </c>
    </row>
    <row r="10" spans="1:10" x14ac:dyDescent="0.25">
      <c r="A10" s="12" t="s">
        <v>31</v>
      </c>
      <c r="B10" s="3" t="s">
        <v>30</v>
      </c>
      <c r="C10" s="5" t="s">
        <v>27</v>
      </c>
      <c r="D10" s="5"/>
      <c r="E10" s="5"/>
      <c r="F10" s="5"/>
      <c r="G10" s="5"/>
      <c r="H10" s="5"/>
      <c r="I10" s="11"/>
      <c r="J10" s="5">
        <f>COUNTIFS('[1]Bug Report'!$A:$A,"BUG-N5-*",'[1]Bug Report'!$B:$B,"TC-"&amp;RIGHT($A10,2)&amp;"-*")</f>
        <v>0</v>
      </c>
    </row>
    <row r="11" spans="1:10" x14ac:dyDescent="0.25">
      <c r="A11" s="12" t="s">
        <v>29</v>
      </c>
      <c r="B11" s="3" t="s">
        <v>28</v>
      </c>
      <c r="C11" s="5" t="s">
        <v>27</v>
      </c>
      <c r="D11" s="5"/>
      <c r="E11" s="5"/>
      <c r="F11" s="5"/>
      <c r="G11" s="5"/>
      <c r="H11" s="5"/>
      <c r="I11" s="11"/>
      <c r="J11" s="5">
        <f>COUNTIFS('[1]Bug Report'!$A:$A,"BUG-N5-*",'[1]Bug Report'!$B:$B,"TC-"&amp;RIGHT($A11,2)&amp;"-*")</f>
        <v>0</v>
      </c>
    </row>
    <row r="12" spans="1:10" x14ac:dyDescent="0.25">
      <c r="A12" s="8" t="s">
        <v>26</v>
      </c>
      <c r="B12" s="2" t="s">
        <v>25</v>
      </c>
      <c r="C12" s="10"/>
      <c r="D12" s="8"/>
      <c r="E12" s="8"/>
      <c r="F12" s="8"/>
      <c r="G12" s="8"/>
      <c r="H12" s="8"/>
      <c r="I12" s="9"/>
      <c r="J12" s="8">
        <f>SUM(J4:J11)</f>
        <v>0</v>
      </c>
    </row>
    <row r="14" spans="1:10" x14ac:dyDescent="0.25">
      <c r="A14" s="4" t="s">
        <v>24</v>
      </c>
    </row>
    <row r="15" spans="1:10" ht="31.5" customHeight="1" x14ac:dyDescent="0.25">
      <c r="A15" s="7" t="s">
        <v>23</v>
      </c>
      <c r="B15" s="7"/>
      <c r="C15" s="7"/>
      <c r="D15" s="7" t="s">
        <v>22</v>
      </c>
      <c r="E15" s="7" t="s">
        <v>21</v>
      </c>
      <c r="F15" s="7" t="s">
        <v>20</v>
      </c>
    </row>
    <row r="16" spans="1:10" x14ac:dyDescent="0.25">
      <c r="A16" s="6" t="s">
        <v>19</v>
      </c>
      <c r="B16" s="3"/>
      <c r="C16" s="3"/>
      <c r="D16" s="5"/>
      <c r="E16" s="5"/>
      <c r="F16" s="5"/>
    </row>
    <row r="17" spans="1:10" x14ac:dyDescent="0.25">
      <c r="A17" s="6" t="s">
        <v>18</v>
      </c>
      <c r="B17" s="3"/>
      <c r="C17" s="3"/>
      <c r="D17" s="5"/>
      <c r="E17" s="5"/>
      <c r="F17" s="5"/>
    </row>
    <row r="18" spans="1:10" x14ac:dyDescent="0.25">
      <c r="A18" s="6" t="s">
        <v>17</v>
      </c>
      <c r="B18" s="3"/>
      <c r="C18" s="3"/>
      <c r="D18" s="5"/>
      <c r="E18" s="5"/>
      <c r="F18" s="5"/>
    </row>
    <row r="19" spans="1:10" x14ac:dyDescent="0.25">
      <c r="A19" s="6" t="s">
        <v>16</v>
      </c>
      <c r="B19" s="3"/>
      <c r="C19" s="3"/>
      <c r="D19" s="5"/>
      <c r="E19" s="5"/>
      <c r="F19" s="5"/>
    </row>
    <row r="20" spans="1:10" x14ac:dyDescent="0.25">
      <c r="A20" s="6" t="s">
        <v>15</v>
      </c>
      <c r="B20" s="3"/>
      <c r="C20" s="3"/>
      <c r="D20" s="5"/>
      <c r="E20" s="5"/>
      <c r="F20" s="5" t="s">
        <v>52</v>
      </c>
    </row>
    <row r="23" spans="1:10" x14ac:dyDescent="0.25">
      <c r="A23" s="4" t="s">
        <v>14</v>
      </c>
    </row>
    <row r="24" spans="1:10" ht="31.5" customHeight="1" x14ac:dyDescent="0.25">
      <c r="A24" s="7" t="s">
        <v>13</v>
      </c>
      <c r="B24" s="7"/>
      <c r="C24" s="7"/>
      <c r="D24" s="7" t="s">
        <v>12</v>
      </c>
      <c r="E24" s="7" t="s">
        <v>11</v>
      </c>
      <c r="F24" s="7" t="s">
        <v>10</v>
      </c>
    </row>
    <row r="25" spans="1:10" x14ac:dyDescent="0.25">
      <c r="A25" s="6" t="s">
        <v>9</v>
      </c>
      <c r="B25" s="3"/>
      <c r="C25" s="3"/>
      <c r="D25" s="5">
        <f>COUNTIFS('[1]Bug Report'!$A:$A,"BUG-N5-*",'[1]Bug Report'!$G:$G,$A25)</f>
        <v>0</v>
      </c>
      <c r="E25" s="5">
        <f>COUNTIFS('[1]Bug Report'!$A:$A,"BUG-N5-*",'[1]Bug Report'!$G:$G,$A25,'[1]Bug Report'!$I:$I,"Đã retest đạt")</f>
        <v>0</v>
      </c>
      <c r="F25" s="5">
        <f>D25-E25</f>
        <v>0</v>
      </c>
    </row>
    <row r="26" spans="1:10" x14ac:dyDescent="0.25">
      <c r="A26" s="6" t="s">
        <v>8</v>
      </c>
      <c r="B26" s="3"/>
      <c r="C26" s="3"/>
      <c r="D26" s="5">
        <f>COUNTIFS('[1]Bug Report'!$A:$A,"BUG-N5-*",'[1]Bug Report'!$G:$G,$A26)</f>
        <v>0</v>
      </c>
      <c r="E26" s="5">
        <f>COUNTIFS('[1]Bug Report'!$A:$A,"BUG-N5-*",'[1]Bug Report'!$G:$G,$A26,'[1]Bug Report'!$I:$I,"Đã retest đạt")</f>
        <v>0</v>
      </c>
      <c r="F26" s="5">
        <f>D26-E26</f>
        <v>0</v>
      </c>
    </row>
    <row r="27" spans="1:10" x14ac:dyDescent="0.25">
      <c r="A27" s="6" t="s">
        <v>7</v>
      </c>
      <c r="B27" s="3"/>
      <c r="C27" s="3"/>
      <c r="D27" s="5">
        <f>COUNTIFS('[1]Bug Report'!$A:$A,"BUG-N5-*",'[1]Bug Report'!$G:$G,$A27)</f>
        <v>0</v>
      </c>
      <c r="E27" s="5">
        <f>COUNTIFS('[1]Bug Report'!$A:$A,"BUG-N5-*",'[1]Bug Report'!$G:$G,$A27,'[1]Bug Report'!$I:$I,"Đã retest đạt")</f>
        <v>0</v>
      </c>
      <c r="F27" s="5">
        <f>D27-E27</f>
        <v>0</v>
      </c>
    </row>
    <row r="28" spans="1:10" x14ac:dyDescent="0.25">
      <c r="A28" s="6" t="s">
        <v>6</v>
      </c>
      <c r="B28" s="3"/>
      <c r="C28" s="3"/>
      <c r="D28" s="5">
        <f>COUNTIFS('[1]Bug Report'!$A:$A,"BUG-N5-*",'[1]Bug Report'!$G:$G,$A28)</f>
        <v>0</v>
      </c>
      <c r="E28" s="5">
        <f>COUNTIFS('[1]Bug Report'!$A:$A,"BUG-N5-*",'[1]Bug Report'!$G:$G,$A28,'[1]Bug Report'!$I:$I,"Đã retest đạt")</f>
        <v>0</v>
      </c>
      <c r="F28" s="5">
        <f>D28-E28</f>
        <v>0</v>
      </c>
    </row>
    <row r="30" spans="1:10" x14ac:dyDescent="0.25">
      <c r="A30" s="4" t="s">
        <v>5</v>
      </c>
    </row>
    <row r="31" spans="1:10" ht="19.5" customHeight="1" x14ac:dyDescent="0.25">
      <c r="A31" s="2" t="s">
        <v>4</v>
      </c>
      <c r="B31" s="14" t="str">
        <f>"Đã chạy "&amp;E12&amp;" / "&amp;D12&amp;" TC; PASS "&amp;F12&amp;"; FAIL "&amp;G12&amp;"; tỉ lệ pass "&amp;IF(E12=0,"-",TEXT(F12/E12,"0.0%"))</f>
        <v>Đã chạy  /  TC; PASS ; FAIL ; tỉ lệ pass -</v>
      </c>
      <c r="C31" s="14"/>
      <c r="D31" s="14"/>
      <c r="E31" s="14"/>
      <c r="F31" s="14"/>
      <c r="G31" s="14"/>
      <c r="H31" s="14"/>
      <c r="I31" s="14"/>
      <c r="J31" s="14"/>
    </row>
    <row r="32" spans="1:10" ht="48" customHeight="1" x14ac:dyDescent="0.25">
      <c r="A32" s="2" t="s">
        <v>3</v>
      </c>
      <c r="B32" s="15"/>
      <c r="C32" s="15"/>
      <c r="D32" s="15"/>
      <c r="E32" s="15"/>
      <c r="F32" s="15"/>
      <c r="G32" s="15"/>
      <c r="H32" s="15"/>
      <c r="I32" s="15"/>
      <c r="J32" s="15"/>
    </row>
    <row r="33" spans="1:10" ht="48" customHeight="1" x14ac:dyDescent="0.25">
      <c r="A33" s="2" t="s">
        <v>2</v>
      </c>
      <c r="B33" s="15"/>
      <c r="C33" s="15"/>
      <c r="D33" s="15"/>
      <c r="E33" s="15"/>
      <c r="F33" s="15"/>
      <c r="G33" s="15"/>
      <c r="H33" s="15"/>
      <c r="I33" s="15"/>
      <c r="J33" s="15"/>
    </row>
    <row r="34" spans="1:10" ht="48" customHeight="1" x14ac:dyDescent="0.25">
      <c r="A34" s="2" t="s">
        <v>1</v>
      </c>
      <c r="B34" s="15"/>
      <c r="C34" s="15"/>
      <c r="D34" s="15"/>
      <c r="E34" s="15"/>
      <c r="F34" s="15"/>
      <c r="G34" s="15"/>
      <c r="H34" s="15"/>
      <c r="I34" s="15"/>
      <c r="J34" s="15"/>
    </row>
    <row r="35" spans="1:10" ht="48" customHeight="1" x14ac:dyDescent="0.25">
      <c r="A35" s="2" t="s">
        <v>0</v>
      </c>
      <c r="B35" s="15"/>
      <c r="C35" s="15"/>
      <c r="D35" s="15"/>
      <c r="E35" s="15"/>
      <c r="F35" s="15"/>
      <c r="G35" s="15"/>
      <c r="H35" s="15"/>
      <c r="I35" s="15"/>
      <c r="J35" s="15"/>
    </row>
  </sheetData>
  <mergeCells count="5">
    <mergeCell ref="B31:J31"/>
    <mergeCell ref="B32:J32"/>
    <mergeCell ref="B33:J33"/>
    <mergeCell ref="B34:J34"/>
    <mergeCell ref="B35:J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kiethoangsinhnam2006@gmail.com</dc:creator>
  <cp:lastModifiedBy>kiethoangsinhnam2006@gmail.com</cp:lastModifiedBy>
  <dcterms:created xsi:type="dcterms:W3CDTF">2026-10-04T12:34:45Z</dcterms:created>
  <dcterms:modified xsi:type="dcterms:W3CDTF">2026-10-04T12:44:09Z</dcterms:modified>
</cp:coreProperties>
</file>