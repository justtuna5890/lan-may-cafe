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9014F1C4-2A17-4826-8388-2ED5D5948132}"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<sst xmlns="http://schemas.openxmlformats.org/spreadsheetml/2006/main" count="1137" uniqueCount="685">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</sst>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3">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 Type="http://schemas.openxmlformats.org/officeDocument/2006/relationships/hyperlink" Target="KQ-test\TC-21-0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8" Type="http://schemas.openxmlformats.org/officeDocument/2006/relationships/hyperlink" Target="KQ-test\TC-01-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127" zoomScaleNormal="70" workbookViewId="0">
      <pane xSplit="3" ySplit="1" topLeftCell="K71" activePane="bottomRight" state="frozen"/>
      <selection pane="topRight" activeCell="D1" sqref="D1"/>
      <selection pane="bottomLeft" activeCell="A3" sqref="A3"/>
      <selection pane="bottomRight" activeCell="K72" sqref="K72"/>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25.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38.25"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38.2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63.7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38.25" x14ac:dyDescent="0.25">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c r="L73" s="15"/>
      <c r="M73" s="16"/>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c r="L74" s="15"/>
      <c r="M74" s="16"/>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c r="L75" s="15"/>
      <c r="M75" s="16"/>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c r="L76" s="15"/>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c r="L77" s="15"/>
      <c r="M77" s="16"/>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c r="L78" s="15"/>
      <c r="M78" s="16"/>
      <c r="N78" s="16"/>
    </row>
    <row r="79" spans="1:14" ht="89.25" x14ac:dyDescent="0.25">
      <c r="A79" s="19" t="s">
        <v>608</v>
      </c>
      <c r="B79" s="17" t="s">
        <v>518</v>
      </c>
      <c r="C79" s="18" t="s">
        <v>675</v>
      </c>
      <c r="D79" s="18" t="s">
        <v>20</v>
      </c>
      <c r="E79" s="18" t="s">
        <v>676</v>
      </c>
      <c r="F79" s="18" t="s">
        <v>677</v>
      </c>
      <c r="G79" s="17" t="s">
        <v>40</v>
      </c>
      <c r="H79" s="18" t="s">
        <v>678</v>
      </c>
      <c r="I79" s="18" t="s">
        <v>679</v>
      </c>
      <c r="J79" s="18" t="s">
        <v>680</v>
      </c>
      <c r="K79" s="18"/>
      <c r="L79" s="20"/>
      <c r="M79" s="18"/>
      <c r="N79" s="18"/>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89.25"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11</v>
      </c>
      <c r="F17" s="6">
        <f>COUNTIFS('Test Case'!$D:$D,$A17,'Test Case'!$L:$L,"FAIL")</f>
        <v>0</v>
      </c>
    </row>
    <row r="18" spans="1:10" x14ac:dyDescent="0.25">
      <c r="A18" s="7" t="s">
        <v>74</v>
      </c>
      <c r="B18" s="1"/>
      <c r="C18" s="1"/>
      <c r="D18" s="6">
        <f>COUNTIF('Test Case'!$D:$D,$A18)</f>
        <v>16</v>
      </c>
      <c r="E18" s="6">
        <f>COUNTIFS('Test Case'!$D:$D,$A18,'Test Case'!$L:$L,"PASS")</f>
        <v>12</v>
      </c>
      <c r="F18" s="6">
        <f>COUNTIFS('Test Case'!$D:$D,$A18,'Test Case'!$L:$L,"FAIL")</f>
        <v>0</v>
      </c>
    </row>
    <row r="19" spans="1:10" x14ac:dyDescent="0.25">
      <c r="A19" s="7" t="s">
        <v>20</v>
      </c>
      <c r="B19" s="1"/>
      <c r="C19" s="1"/>
      <c r="D19" s="6">
        <f>COUNTIF('Test Case'!$D:$D,$A19)</f>
        <v>24</v>
      </c>
      <c r="E19" s="6">
        <f>COUNTIFS('Test Case'!$D:$D,$A19,'Test Case'!$L:$L,"PASS")</f>
        <v>12</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21" t="str">
        <f>"Đã chạy "&amp;E12&amp;" / "&amp;D12&amp;" TC; PASS "&amp;F12&amp;"; FAIL "&amp;G12&amp;"; tỉ lệ pass "&amp;IF(E12=0,"-",TEXT(F12/E12,"0.0%"))</f>
        <v>Đã chạy 38 / 64 TC; PASS 38; FAIL 0; tỉ lệ pass 100.0%</v>
      </c>
      <c r="C31" s="21"/>
      <c r="D31" s="21"/>
      <c r="E31" s="21"/>
      <c r="F31" s="21"/>
      <c r="G31" s="21"/>
      <c r="H31" s="21"/>
      <c r="I31" s="21"/>
      <c r="J31" s="21"/>
    </row>
    <row r="32" spans="1:10" ht="48" customHeight="1" x14ac:dyDescent="0.25">
      <c r="A32" s="3" t="s">
        <v>454</v>
      </c>
      <c r="B32" s="22"/>
      <c r="C32" s="22"/>
      <c r="D32" s="22"/>
      <c r="E32" s="22"/>
      <c r="F32" s="22"/>
      <c r="G32" s="22"/>
      <c r="H32" s="22"/>
      <c r="I32" s="22"/>
      <c r="J32" s="22"/>
    </row>
    <row r="33" spans="1:10" ht="48" customHeight="1" x14ac:dyDescent="0.25">
      <c r="A33" s="3" t="s">
        <v>455</v>
      </c>
      <c r="B33" s="22"/>
      <c r="C33" s="22"/>
      <c r="D33" s="22"/>
      <c r="E33" s="22"/>
      <c r="F33" s="22"/>
      <c r="G33" s="22"/>
      <c r="H33" s="22"/>
      <c r="I33" s="22"/>
      <c r="J33" s="22"/>
    </row>
    <row r="34" spans="1:10" ht="48" customHeight="1" x14ac:dyDescent="0.25">
      <c r="A34" s="3" t="s">
        <v>456</v>
      </c>
      <c r="B34" s="22"/>
      <c r="C34" s="22"/>
      <c r="D34" s="22"/>
      <c r="E34" s="22"/>
      <c r="F34" s="22"/>
      <c r="G34" s="22"/>
      <c r="H34" s="22"/>
      <c r="I34" s="22"/>
      <c r="J34" s="22"/>
    </row>
    <row r="35" spans="1:10" ht="48" customHeight="1" x14ac:dyDescent="0.25">
      <c r="A35" s="3" t="s">
        <v>457</v>
      </c>
      <c r="B35" s="22"/>
      <c r="C35" s="22"/>
      <c r="D35" s="22"/>
      <c r="E35" s="22"/>
      <c r="F35" s="22"/>
      <c r="G35" s="22"/>
      <c r="H35" s="22"/>
      <c r="I35" s="22"/>
      <c r="J35" s="22"/>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2026-10-14T09:48:15Z</dcterms:modified>
  <dc:language>en-US</dc:language>
</cp:coreProperties>
</file>