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80767E3F-EC0D-4432-BA6D-5C9DF40A4271}"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E27" i="6"/>
  <c r="D27" i="6"/>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F27" i="6" l="1"/>
  <c r="F28" i="6"/>
  <c r="E9" i="6"/>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<sst xmlns="http://schemas.openxmlformats.org/spreadsheetml/2006/main" count="1168" uniqueCount="700">
  <si>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</si>
  <si>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</si>
  <si>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</si>
  <si>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</si>
  <si>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</si>
  <si>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</si>
  <si>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</si>
  <si>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</si>
  <si>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</si>
  <si>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</si>
  <si>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</si>
  <si>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</si>
  <si>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</si>
  <si>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</si>
  <si>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</si>
  <si>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</si>
  <si>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</si>
  <si>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</si>
  <si>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</si>
  <si>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</si>
  <si>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</si>
  <si>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</si>
  <si>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</si>
  <si>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</si>
  <si>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</si>
  <si>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</si>
  <si>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</si>
  <si>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</si>
  <si>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</si>
  <si>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</si>
  <si>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</si>
  <si>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</si>
  <si>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</si>
  <si>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</si>
  <si>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</si>
  <si>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</si>
  <si>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</si>
  <si>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</si>
  <si>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</si>
  <si>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</si>
  <si>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</si>
  <si>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</si>
  <si>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</si>
  <si>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</si>
  <si>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</si>
  <si>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</si>
  <si>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</si>
  <si>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</si>
  <si>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</si>
  <si>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</si>
  <si>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</si>
  <si>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</si>
  <si>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</si>
  <si>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</si>
  <si>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</si>
  <si>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</si>
  <si>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</si>
  <si>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</si>
  <si>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</si>
  <si>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</si>
  <si>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</si>
  <si>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</si>
  <si>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</si>
  <si>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</si>
  <si>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</si>
  <si>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</si>
  <si>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</si>
  <si>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</si>
  <si>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</si>
  <si>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</si>
  <si>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</si>
  <si>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</si>
  <si>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</si>
  <si>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</si>
  <si>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</si>
  <si>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</si>
  <si>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</si>
  <si>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</si>
  <si>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</si>
  <si>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</si>
  <si>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</si>
  <si>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</si>
  <si>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</si>
  <si>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</si>
  <si>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</si>
  <si>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</si>
  <si>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</si>
  <si>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</si>
  <si>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</si>
  <si>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</si>
  <si>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</si>
  <si>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</si>
  <si>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</si>
  <si>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</si>
  <si>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</si>
  <si>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</si>
  <si>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</si>
  <si>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</si>
  <si>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</si>
  <si>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</si>
  <si>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</si>
  <si>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</si>
  <si>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</si>
  <si>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</si>
  <si>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</si>
  <si>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</si>
  <si>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</si>
  <si>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</si>
  <si>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</si>
  <si>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</si>
  <si>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</si>
  <si>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</si>
  <si>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</si>
  <si>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</si>
  <si>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</si>
  <si>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</si>
  <si>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</si>
  <si>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</si>
  <si>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</si>
  <si>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</si>
  <si>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</si>
  <si>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</si>
  <si>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</si>
  <si>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</si>
  <si>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</si>
  <si>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</si>
  <si>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</si>
  <si>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</si>
  <si>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</si>
  <si>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</si>
  <si>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</si>
  <si>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</si>
  <si>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</si>
  <si>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</si>
  <si>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</si>
  <si>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</si>
  <si>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</si>
  <si>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</si>
  <si>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</si>
  <si>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</si>
  <si>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</si>
  <si>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</si>
  <si>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</si>
  <si>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</si>
  <si>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</si>
  <si>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</si>
  <si>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</si>
  <si>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</si>
  <si>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</si>
  <si>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</si>
  <si>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</si>
  <si>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</si>
  <si>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</si>
  <si>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</si>
  <si>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</si>
  <si>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</si>
  <si>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</si>
  <si>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</si>
  <si>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</si>
  <si>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</si>
  <si>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</si>
  <si>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</si>
  <si>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</si>
  <si>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</si>
  <si>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</si>
  <si>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</si>
  <si>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</si>
  <si>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</si>
  <si>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</si>
  <si>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</si>
  <si>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</si>
  <si>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</si>
  <si>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</si>
  <si>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</si>
  <si>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</si>
  <si>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</si>
  <si>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</si>
  <si>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</si>
  <si>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</si>
  <si>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</si>
  <si>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</si>
  <si>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</si>
  <si>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</si>
  <si>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</si>
  <si>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</si>
  <si>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</si>
  <si>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</si>
  <si>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</si>
  <si>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</si>
  <si>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</si>
  <si>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</si>
  <si>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</si>
  <si>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</si>
  <si>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</si>
  <si>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</si>
  <si>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</si>
  <si>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</si>
  <si>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</si>
  <si>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</si>
  <si>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</si>
  <si>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</si>
  <si>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</si>
  <si>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</si>
  <si>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</si>
  <si>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</si>
  <si>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</si>
  <si>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</si>
  <si>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</si>
  <si>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</si>
  <si>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</si>
  <si>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</si>
  <si>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</si>
  <si>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</si>
  <si>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</si>
  <si>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</si>
  <si>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</si>
  <si>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</si>
  <si>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</si>
  <si>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</si>
  <si>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</si>
  <si>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</si>
  <si>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</si>
  <si>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</si>
  <si>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</si>
  <si>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</si>
  <si>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</si>
  <si>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</si>
  <si>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</si>
  <si>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</si>
  <si>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</si>
  <si>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</si>
  <si>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</si>
  <si>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</si>
  <si>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</si>
  <si>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</si>
  <si>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</si>
  <si>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</si>
  <si>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</si>
  <si>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</si>
  <si>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</si>
  <si>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</si>
  <si>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</si>
  <si>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</si>
  <si>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</si>
  <si>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</si>
  <si>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</si>
  <si>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</si>
  <si>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</si>
  <si>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</si>
  <si>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</si>
  <si>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</si>
  <si>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</si>
  <si>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</si>
  <si>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</si>
  <si>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</si>
  <si>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</si>
  <si>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</si>
  <si>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</si>
  <si>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</si>
  <si>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</si>
  <si>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</si>
  <si>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</si>
  <si>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</si>
  <si>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</si>
  <si>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</si>
  <si>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</si>
  <si>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</si>
  <si>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</si>
  <si>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</si>
  <si>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</si>
  <si>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</si>
  <si>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</si>
  <si>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</si>
  <si>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</si>
  <si>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</si>
  <si>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</si>
  <si>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</si>
  <si>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</si>
  <si>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</si>
  <si>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</si>
  <si>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</si>
  <si>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</si>
  <si>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</si>
  <si>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</si>
  <si>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</si>
  <si>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</si>
  <si>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</si>
  <si>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</si>
  <si>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</si>
  <si>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</si>
  <si>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</si>
  <si>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</si>
  <si>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</si>
  <si>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</si>
  <si>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</si>
  <si>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</si>
  <si>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</si>
  <si>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</si>
  <si>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</si>
  <si>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</si>
  <si>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</si>
  <si>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</si>
  <si>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</si>
  <si>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</si>
  <si>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</si>
  <si>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</si>
  <si>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</si>
  <si>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</si>
  <si>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</si>
  <si>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</si>
  <si>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</si>
  <si>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</si>
  <si>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</si>
  <si>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</si>
  <si>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</si>
  <si>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</si>
  <si>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</si>
  <si>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</si>
  <si>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</si>
  <si>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</si>
  <si>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</si>
  <si>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</si>
  <si>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</si>
  <si>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</si>
  <si>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</si>
  <si>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</si>
  <si>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</si>
  <si>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</si>
  <si>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</si>
  <si>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</si>
  <si>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</si>
  <si>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</si>
  <si>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</si>
  <si>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</si>
  <si>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</si>
  <si>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</si>
  <si>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</si>
  <si>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</si>
  <si>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</si>
  <si>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</si>
  <si>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</si>
  <si>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</si>
  <si>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</si>
  <si>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</si>
  <si>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</si>
  <si>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</si>
  <si>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</si>
  <si>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</si>
  <si>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</si>
  <si>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</si>
  <si>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</si>
  <si>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</si>
  <si>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</si>
  <si>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</si>
  <si>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</si>
  <si>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</si>
  <si>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</si>
  <si>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</si>
  <si>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</si>
  <si>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</si>
  <si>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</si>
  <si>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</si>
  <si>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</si>
  <si>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</si>
  <si>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</si>
  <si>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</si>
  <si>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</si>
  <si>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</si>
  <si>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</si>
  <si>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</si>
  <si>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</si>
  <si>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</si>
  <si>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</si>
  <si>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</si>
  <si>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</si>
  <si>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</si>
  <si>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</si>
  <si>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</si>
  <si>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</si>
  <si>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</si>
  <si>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</si>
  <si>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</si>
  <si>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</si>
  <si>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</si>
  <si>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</si>
  <si>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</si>
  <si>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</si>
  <si>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</si>
  <si>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</si>
  <si>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</si>
  <si>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</si>
  <si>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</si>
  <si>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</si>
  <si>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</si>
  <si>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</si>
  <si>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</si>
  <si>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</si>
  <si>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</si>
  <si>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</si>
  <si>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</si>
  <si>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</si>
  <si>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</si>
  <si>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</si>
  <si>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</si>
  <si>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</si>
  <si>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</si>
  <si>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</si>
  <si>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</si>
  <si>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</si>
  <si>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</si>
  <si>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</si>
  <si>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</si>
  <si>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</si>
  <si>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</si>
  <si>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</si>
  <si>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</si>
  <si>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</si>
  <si>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</si>
  <si>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</si>
  <si>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</si>
  <si>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</si>
  <si>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</si>
  <si>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</si>
  <si>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</si>
  <si>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</si>
  <si>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</si>
  <si>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</si>
  <si>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</si>
  <si>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</si>
  <si>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</si>
  <si>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</si>
  <si>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</si>
  <si>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</si>
  <si>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</si>
  <si>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</si>
  <si>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</si>
  <si>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</si>
  <si>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</si>
  <si>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</si>
  <si>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</si>
  <si>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</si>
  <si>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</si>
  <si>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</si>
  <si>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</si>
  <si>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</si>
  <si>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</si>
  <si>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</si>
  <si>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</si>
  <si>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</si>
  <si>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</si>
  <si>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</si>
  <si>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</si>
  <si>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</si>
  <si>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</si>
  <si>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</si>
  <si>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</si>
  <si>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</si>
  <si>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</si>
  <si>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</si>
  <si>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</si>
  <si>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</si>
  <si>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</si>
  <si>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</si>
  <si>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</si>
  <si>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</si>
  <si>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</si>
  <si>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</si>
  <si>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</si>
  <si>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</si>
  <si>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</si>
  <si>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</si>
  <si>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</si>
  <si>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</si>
  <si>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</si>
  <si>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</si>
  <si>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</si>
  <si>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</si>
  <si>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</si>
  <si>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</si>
  <si>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</si>
  <si>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</si>
  <si>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</si>
  <si>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</si>
  <si>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</si>
  <si>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</si>
  <si>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</si>
  <si>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</si>
  <si>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</si>
  <si>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</si>
  <si>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</si>
  <si>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</si>
  <si>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</si>
  <si>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</si>
  <si>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</si>
  <si>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</si>
  <si>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</si>
  <si>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</si>
  <si>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</si>
  <si>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</si>
  <si>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</si>
  <si>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</si>
  <si>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</si>
  <si>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</si>
  <si>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</si>
  <si>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</si>
  <si>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</si>
  <si>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</si>
  <si>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</si>
  <si>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</si>
  <si>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</si>
  <si>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</si>
  <si>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</si>
  <si>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</si>
  <si>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</si>
  <si>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</si>
  <si>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</si>
  <si>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</si>
  <si>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</si>
  <si>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</si>
  <si>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</si>
  <si>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</si>
  <si>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</si>
  <si>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</si>
  <si>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</si>
  <si>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</si>
  <si>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</si>
  <si>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</si>
  <si>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</si>
  <si>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</si>
  <si>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</si>
  <si>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</si>
  <si>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</si>
  <si>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</si>
  <si>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</si>
  <si>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</si>
  <si>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</si>
  <si>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</si>
  <si>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</si>
  <si>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</si>
  <si>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</si>
  <si>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</si>
  <si>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</si>
  <si>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</si>
  <si>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</si>
  <si>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</si>
  <si>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</si>
  <si>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</si>
  <si>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</si>
  <si>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</si>
  <si>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</si>
  <si>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</si>
  <si>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</si>
  <si>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</si>
  <si>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</si>
  <si>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</si>
  <si>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</si>
  <si>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</si>
  <si>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</si>
  <si>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</si>
  <si>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</si>
  <si>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</si>
  <si>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</si>
  <si>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</si>
  <si>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</si>
  <si>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</si>
  <si>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</si>
  <si>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</si>
  <si>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</si>
  <si>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</si>
  <si>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</si>
  <si>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</si>
  <si>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</si>
  <si>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</si>
  <si>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</si>
  <si>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</si>
  <si>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</si>
  <si>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</si>
  <si>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</si>
  <si>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</si>
  <si>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</si>
  <si>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</si>
  <si>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</si>
  <si>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</si>
  <si>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</si>
  <si>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</si>
  <si>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</si>
  <si>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</si>
  <si>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</si>
  <si>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</si>
  <si>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</si>
  <si>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</si>
  <si>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</si>
  <si>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</si>
  <si>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</si>
  <si>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</si>
  <si>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</si>
  <si>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</si>
  <si>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</si>
  <si>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</si>
  <si>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</si>
  <si>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</si>
  <si>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</si>
  <si>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</si>
  <si>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</si>
  <si>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</si>
  <si>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</si>
  <si>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</si>
  <si>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</si>
  <si>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</si>
  <si>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</si>
  <si>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</si>
  <si>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</si>
  <si>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</si>
  <si>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</si>
  <si>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</si>
  <si>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</si>
  <si>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</si>
  <si>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</si>
  <si>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</si>
  <si>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</si>
  <si>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</si>
  <si>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</si>
  <si>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</si>
  <si>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</si>
  <si>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</si>
  <si>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</si>
  <si>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</si>
  <si>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</si>
  <si>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</si>
  <si>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</si>
  <si>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</si>
  <si>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</si>
  <si>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</si>
  <si>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</si>
  <si>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</si>
  <si>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</si>
  <si>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</si>
  <si>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</si>
  <si>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</si>
  <si>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</si>
  <si>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</si>
  <si>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</si>
  <si>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</si>
  <si>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</si>
  <si>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</si>
  <si>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</si>
  <si>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</si>
  <si>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</si>
  <si>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</si>
  <si>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</si>
  <si>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</si>
  <si>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</si>
  <si>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</si>
  <si>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</si>
  <si>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</si>
  <si>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</si>
  <si>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</si>
  <si>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</si>
  <si>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</si>
  <si>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</si>
  <si>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</si>
  <si>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</si>
  <si>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</si>
  <si>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</si>
  <si>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</si>
  <si>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</si>
  <si>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</si>
  <si>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</si>
  <si>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</si>
  <si>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</si>
  <si>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</si>
  <si>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</si>
  <si>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</si>
  <si>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</si>
  <si>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</si>
  <si>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</si>
  <si>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</si>
  <si>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</si>
  <si>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</si>
  <si>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</si>
  <si>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</si>
  <si>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</si>
  <si>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</si>
  <si>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</si>
  <si>
    <t>KQ-test\TC-22-06.png</t>
  </si>
  <si>
    <t>KQ-test\TC-22-08.png</t>
  </si>
  <si>
    <t>KQ-test\TC-22-09.png</t>
  </si>
  <si>
    <t>KQ-test\TC-22-10.png</t>
  </si>
  <si>
    <t>KQ-test\TC-22-12.png</t>
  </si>
  <si>
    <t>KQ-test\TC-22-13.png</t>
  </si>
  <si>
    <t>Món cà phê đen sau khi được nhập nguyên liệu thì tự động đổi qua trạng thái còn hàng.</t>
  </si>
  <si>
    <t>fail</t>
  </si>
  <si>
    <t>KQ-test\TC-22-14.png</t>
  </si>
  <si>
    <t>BUG-N5-001</t>
  </si>
  <si>
    <t>Nhập kho nguyên liệu tự động mở bán lại món ăn mà Chủ quán đã chủ động tắt bán</t>
  </si>
  <si>
    <r>
      <t xml:space="preserve">Món mon-01 bị tự động chuyển sang </t>
    </r>
    <r>
      <rPr>
        <sz val="10"/>
        <color theme="1"/>
        <rFont val="Arial Unicode MS"/>
      </rPr>
      <t>CON_HANG</t>
    </r>
  </si>
  <si>
    <t>Đặt trạng thái món Cà phê đen (mon-01) thành TAM_HET.  2. Dùng tài khoản Barista nhập nguyên liệu của cà phê đen.  3.Kiểm tra lại bảng mon_an trong CSDL.</t>
  </si>
  <si>
    <r>
      <t xml:space="preserve">Món mon-01 phải giữ nguyên trạng thái </t>
    </r>
    <r>
      <rPr>
        <sz val="10"/>
        <color theme="1"/>
        <rFont val="Arial Unicode MS"/>
      </rPr>
      <t>TAM_HET</t>
    </r>
    <r>
      <rPr>
        <sz val="11"/>
        <color theme="1"/>
        <rFont val="Calibri"/>
        <family val="2"/>
        <charset val="1"/>
      </rPr>
      <t xml:space="preserve"> vì Chủ quán đã chủ động tắt bán</t>
    </r>
  </si>
  <si>
    <t>mới</t>
  </si>
  <si>
    <t>KQ-test\TC-24-02.png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</si>
</sst>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
      <sz val="10"/>
      <color theme="1"/>
      <name val="Arial Unicode MS"/>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30">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7" fillId="0" borderId="1" xfId="1" applyBorder="1" applyAlignment="1">
      <alignment horizontal="center" vertical="top" wrapText="1"/>
    </xf>
    <xf numFmtId="0" fontId="4" fillId="0" borderId="1" xfId="2" applyFont="1" applyBorder="1" applyAlignment="1">
      <alignment horizontal="left" vertical="top" wrapText="1"/>
    </xf>
    <xf numFmtId="0" fontId="7" fillId="0" borderId="1" xfId="1" applyBorder="1" applyAlignment="1">
      <alignment horizontal="left" vertical="top" wrapText="1"/>
    </xf>
    <xf numFmtId="0" fontId="4" fillId="0" borderId="1" xfId="0" applyFont="1" applyBorder="1" applyAlignment="1">
      <alignment vertical="top" wrapText="1"/>
    </xf>
    <xf numFmtId="0" fontId="4" fillId="4" borderId="1" xfId="0" applyFont="1" applyFill="1" applyBorder="1" applyAlignment="1">
      <alignment vertical="top" wrapText="1"/>
    </xf>
    <xf numFmtId="0" fontId="0" fillId="0" borderId="0" xfId="0" applyAlignment="1">
      <alignment horizontal="left" vertical="top"/>
    </xf>
    <xf numFmtId="0" fontId="0" fillId="0" borderId="0" xfId="0" applyAlignment="1">
      <alignment wrapText="1"/>
    </xf>
    <xf numFmtId="0" fontId="0" fillId="0" borderId="0" xfId="0" applyAlignment="1">
      <alignment horizontal="left" vertical="top" wrapText="1"/>
    </xf>
    <xf numFmtId="0" fontId="0" fillId="0" borderId="0" xfId="0"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9" Type="http://schemas.openxmlformats.org/officeDocument/2006/relationships/hyperlink" Target="KQ-test\TC-22-13.png" TargetMode="External"/><Relationship Id="rId21" Type="http://schemas.openxmlformats.org/officeDocument/2006/relationships/hyperlink" Target="KQ-test\TC-01-10.png" TargetMode="External"/><Relationship Id="rId34" Type="http://schemas.openxmlformats.org/officeDocument/2006/relationships/hyperlink" Target="KQ-test\TC-22-06.png" TargetMode="External"/><Relationship Id="rId7" Type="http://schemas.openxmlformats.org/officeDocument/2006/relationships/hyperlink" Target="KQ-test\TC-21-09.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41" Type="http://schemas.openxmlformats.org/officeDocument/2006/relationships/hyperlink" Target="KQ-test\TC-24-02.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37" Type="http://schemas.openxmlformats.org/officeDocument/2006/relationships/hyperlink" Target="KQ-test\TC-22-10.png" TargetMode="External"/><Relationship Id="rId40" Type="http://schemas.openxmlformats.org/officeDocument/2006/relationships/hyperlink" Target="KQ-test\TC-22-1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36" Type="http://schemas.openxmlformats.org/officeDocument/2006/relationships/hyperlink" Target="KQ-test\TC-22-09.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35" Type="http://schemas.openxmlformats.org/officeDocument/2006/relationships/hyperlink" Target="KQ-test\TC-22-08.png" TargetMode="External"/><Relationship Id="rId8" Type="http://schemas.openxmlformats.org/officeDocument/2006/relationships/hyperlink" Target="KQ-test\TC-01-01.png" TargetMode="External"/><Relationship Id="rId3" Type="http://schemas.openxmlformats.org/officeDocument/2006/relationships/hyperlink" Target="KQ-test\TC-21-03.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38" Type="http://schemas.openxmlformats.org/officeDocument/2006/relationships/hyperlink" Target="KQ-test\TC-22-12.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85" zoomScaleNormal="70" workbookViewId="0">
      <pane xSplit="3" ySplit="1" topLeftCell="J79" activePane="bottomRight" state="frozen"/>
      <selection pane="topRight" activeCell="D1" sqref="D1"/>
      <selection pane="bottomLeft" activeCell="A3" sqref="A3"/>
      <selection pane="bottomRight" activeCell="M80" sqref="M80"/>
    </sheetView>
  </sheetViews>
  <sheetFormatPr defaultColWidth="8.7109375" defaultRowHeight="1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38.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51">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63.7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76.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51">
      <c r="A71" s="15" t="s">
        <v>554</v>
      </c>
      <c r="B71" s="15" t="s">
        <v>518</v>
      </c>
      <c r="C71" s="16" t="s">
        <v>555</v>
      </c>
      <c r="D71" s="16" t="s">
        <v>74</v>
      </c>
      <c r="E71" s="16" t="s">
        <v>556</v>
      </c>
      <c r="F71" s="16" t="s">
        <v>557</v>
      </c>
      <c r="G71" s="15" t="s">
        <v>40</v>
      </c>
      <c r="H71" s="16" t="s">
        <v>538</v>
      </c>
      <c r="I71" s="16" t="s">
        <v>558</v>
      </c>
      <c r="J71" s="16" t="s">
        <v>559</v>
      </c>
      <c r="K71" s="16" t="s">
        <v>559</v>
      </c>
      <c r="L71" s="15" t="s">
        <v>459</v>
      </c>
      <c r="M71" s="14" t="s">
        <v>684</v>
      </c>
      <c r="N71" s="16"/>
    </row>
    <row r="72" spans="1:14" ht="89.25">
      <c r="A72" s="15" t="s">
        <v>560</v>
      </c>
      <c r="B72" s="15" t="s">
        <v>518</v>
      </c>
      <c r="C72" s="16" t="s">
        <v>561</v>
      </c>
      <c r="D72" s="16" t="s">
        <v>54</v>
      </c>
      <c r="E72" s="16" t="s">
        <v>562</v>
      </c>
      <c r="F72" s="16" t="s">
        <v>563</v>
      </c>
      <c r="G72" s="15" t="s">
        <v>40</v>
      </c>
      <c r="H72" s="16" t="s">
        <v>538</v>
      </c>
      <c r="I72" s="16" t="s">
        <v>564</v>
      </c>
      <c r="J72" s="16" t="s">
        <v>565</v>
      </c>
      <c r="K72" s="16" t="s">
        <v>565</v>
      </c>
      <c r="L72" s="15" t="s">
        <v>459</v>
      </c>
      <c r="M72" s="16"/>
      <c r="N72" s="16"/>
    </row>
    <row r="73" spans="1:14" ht="38.25">
      <c r="A73" s="15" t="s">
        <v>566</v>
      </c>
      <c r="B73" s="15" t="s">
        <v>518</v>
      </c>
      <c r="C73" s="16" t="s">
        <v>567</v>
      </c>
      <c r="D73" s="16" t="s">
        <v>20</v>
      </c>
      <c r="E73" s="16" t="s">
        <v>568</v>
      </c>
      <c r="F73" s="16" t="s">
        <v>569</v>
      </c>
      <c r="G73" s="15" t="s">
        <v>40</v>
      </c>
      <c r="H73" s="16" t="s">
        <v>570</v>
      </c>
      <c r="I73" s="16" t="s">
        <v>571</v>
      </c>
      <c r="J73" s="16" t="s">
        <v>572</v>
      </c>
      <c r="K73" s="16" t="s">
        <v>572</v>
      </c>
      <c r="L73" s="15" t="s">
        <v>459</v>
      </c>
      <c r="M73" s="14" t="s">
        <v>685</v>
      </c>
      <c r="N73" s="16"/>
    </row>
    <row r="74" spans="1:14" ht="89.25">
      <c r="A74" s="15" t="s">
        <v>573</v>
      </c>
      <c r="B74" s="15" t="s">
        <v>518</v>
      </c>
      <c r="C74" s="16" t="s">
        <v>574</v>
      </c>
      <c r="D74" s="16" t="s">
        <v>20</v>
      </c>
      <c r="E74" s="16" t="s">
        <v>575</v>
      </c>
      <c r="F74" s="16" t="s">
        <v>576</v>
      </c>
      <c r="G74" s="15" t="s">
        <v>40</v>
      </c>
      <c r="H74" s="16" t="s">
        <v>577</v>
      </c>
      <c r="I74" s="16" t="s">
        <v>578</v>
      </c>
      <c r="J74" s="16" t="s">
        <v>579</v>
      </c>
      <c r="K74" s="16" t="s">
        <v>579</v>
      </c>
      <c r="L74" s="15" t="s">
        <v>459</v>
      </c>
      <c r="M74" s="14" t="s">
        <v>686</v>
      </c>
      <c r="N74" s="16"/>
    </row>
    <row r="75" spans="1:14" ht="51">
      <c r="A75" s="15" t="s">
        <v>580</v>
      </c>
      <c r="B75" s="15" t="s">
        <v>518</v>
      </c>
      <c r="C75" s="16" t="s">
        <v>581</v>
      </c>
      <c r="D75" s="16" t="s">
        <v>54</v>
      </c>
      <c r="E75" s="16" t="s">
        <v>582</v>
      </c>
      <c r="F75" s="16" t="s">
        <v>583</v>
      </c>
      <c r="G75" s="15" t="s">
        <v>63</v>
      </c>
      <c r="H75" s="16" t="s">
        <v>584</v>
      </c>
      <c r="I75" s="16" t="s">
        <v>585</v>
      </c>
      <c r="J75" s="16" t="s">
        <v>586</v>
      </c>
      <c r="K75" s="16" t="s">
        <v>586</v>
      </c>
      <c r="L75" s="15" t="s">
        <v>459</v>
      </c>
      <c r="M75" s="14" t="s">
        <v>687</v>
      </c>
      <c r="N75" s="16"/>
    </row>
    <row r="76" spans="1:14" ht="76.5">
      <c r="A76" s="15" t="s">
        <v>587</v>
      </c>
      <c r="B76" s="15" t="s">
        <v>518</v>
      </c>
      <c r="C76" s="16" t="s">
        <v>588</v>
      </c>
      <c r="D76" s="16" t="s">
        <v>54</v>
      </c>
      <c r="E76" s="16" t="s">
        <v>589</v>
      </c>
      <c r="F76" s="16" t="s">
        <v>590</v>
      </c>
      <c r="G76" s="15" t="s">
        <v>63</v>
      </c>
      <c r="H76" s="16" t="s">
        <v>591</v>
      </c>
      <c r="I76" s="16" t="s">
        <v>592</v>
      </c>
      <c r="J76" s="16" t="s">
        <v>593</v>
      </c>
      <c r="K76" s="16" t="s">
        <v>593</v>
      </c>
      <c r="L76" s="15" t="s">
        <v>459</v>
      </c>
      <c r="M76" s="16"/>
      <c r="N76" s="16"/>
    </row>
    <row r="77" spans="1:14" ht="51">
      <c r="A77" s="15" t="s">
        <v>594</v>
      </c>
      <c r="B77" s="15" t="s">
        <v>518</v>
      </c>
      <c r="C77" s="16" t="s">
        <v>595</v>
      </c>
      <c r="D77" s="16" t="s">
        <v>54</v>
      </c>
      <c r="E77" s="16" t="s">
        <v>596</v>
      </c>
      <c r="F77" s="16" t="s">
        <v>597</v>
      </c>
      <c r="G77" s="15" t="s">
        <v>40</v>
      </c>
      <c r="H77" s="16" t="s">
        <v>598</v>
      </c>
      <c r="I77" s="16" t="s">
        <v>599</v>
      </c>
      <c r="J77" s="16" t="s">
        <v>600</v>
      </c>
      <c r="K77" s="16" t="s">
        <v>600</v>
      </c>
      <c r="L77" s="15" t="s">
        <v>459</v>
      </c>
      <c r="M77" s="21" t="s">
        <v>688</v>
      </c>
      <c r="N77" s="16"/>
    </row>
    <row r="78" spans="1:14" ht="51">
      <c r="A78" s="15" t="s">
        <v>601</v>
      </c>
      <c r="B78" s="15" t="s">
        <v>518</v>
      </c>
      <c r="C78" s="16" t="s">
        <v>602</v>
      </c>
      <c r="D78" s="16" t="s">
        <v>54</v>
      </c>
      <c r="E78" s="16" t="s">
        <v>603</v>
      </c>
      <c r="F78" s="16" t="s">
        <v>604</v>
      </c>
      <c r="G78" s="15" t="s">
        <v>40</v>
      </c>
      <c r="H78" s="16" t="s">
        <v>605</v>
      </c>
      <c r="I78" s="16" t="s">
        <v>606</v>
      </c>
      <c r="J78" s="16" t="s">
        <v>607</v>
      </c>
      <c r="K78" s="16" t="s">
        <v>607</v>
      </c>
      <c r="L78" s="15" t="s">
        <v>459</v>
      </c>
      <c r="M78" s="14" t="s">
        <v>689</v>
      </c>
      <c r="N78" s="16"/>
    </row>
    <row r="79" spans="1:14" ht="89.25">
      <c r="A79" s="19" t="s">
        <v>608</v>
      </c>
      <c r="B79" s="17" t="s">
        <v>518</v>
      </c>
      <c r="C79" s="18" t="s">
        <v>675</v>
      </c>
      <c r="D79" s="18" t="s">
        <v>20</v>
      </c>
      <c r="E79" s="18" t="s">
        <v>676</v>
      </c>
      <c r="F79" s="18" t="s">
        <v>677</v>
      </c>
      <c r="G79" s="17" t="s">
        <v>40</v>
      </c>
      <c r="H79" s="18" t="s">
        <v>678</v>
      </c>
      <c r="I79" s="18" t="s">
        <v>679</v>
      </c>
      <c r="J79" s="18" t="s">
        <v>680</v>
      </c>
      <c r="K79" s="22" t="s">
        <v>690</v>
      </c>
      <c r="L79" s="20" t="s">
        <v>691</v>
      </c>
      <c r="M79" s="23" t="s">
        <v>692</v>
      </c>
      <c r="N79" s="18"/>
    </row>
    <row r="80" spans="1:14" ht="76.5">
      <c r="A80" s="15" t="s">
        <v>610</v>
      </c>
      <c r="B80" s="15" t="s">
        <v>519</v>
      </c>
      <c r="C80" s="16" t="s">
        <v>611</v>
      </c>
      <c r="D80" s="16" t="s">
        <v>37</v>
      </c>
      <c r="E80" s="16" t="s">
        <v>38</v>
      </c>
      <c r="F80" s="16" t="s">
        <v>612</v>
      </c>
      <c r="G80" s="15" t="s">
        <v>40</v>
      </c>
      <c r="H80" s="16" t="s">
        <v>613</v>
      </c>
      <c r="I80" s="16" t="s">
        <v>614</v>
      </c>
      <c r="J80" s="16" t="s">
        <v>615</v>
      </c>
      <c r="K80" s="16" t="s">
        <v>615</v>
      </c>
      <c r="L80" s="15" t="s">
        <v>459</v>
      </c>
      <c r="M80" s="14" t="s">
        <v>699</v>
      </c>
      <c r="N80" s="16"/>
    </row>
    <row r="81" spans="1:14" ht="51">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102">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 ref="M71" r:id="rId34" xr:uid="{4A9FFBFF-EF0A-42D6-99E7-396BFFC02102}"/>
    <hyperlink ref="M73" r:id="rId35" xr:uid="{8122B6D1-AB2E-453D-ABBD-90F259A7ACE0}"/>
    <hyperlink ref="M74" r:id="rId36" xr:uid="{7A37FDCC-E43E-42FA-8644-5B26D127DEC4}"/>
    <hyperlink ref="M75" r:id="rId37" xr:uid="{457EC74B-61C4-4210-8AF2-CCA84EBCDB64}"/>
    <hyperlink ref="M77" r:id="rId38" xr:uid="{0B302733-E9E0-470F-8B09-8E1EBA4EB82D}"/>
    <hyperlink ref="M78" r:id="rId39" xr:uid="{1DF0E4BB-591D-41B6-9EE3-1EFAE674C8A9}"/>
    <hyperlink ref="M79" r:id="rId40" xr:uid="{F4F6776F-A5F1-4B24-A139-49EE3D1A8F59}"/>
    <hyperlink ref="M80" r:id="rId41" xr:uid="{634ED99E-E53F-469E-AF6E-FB3653179359}"/>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E2" activePane="bottomRight" state="frozen"/>
      <selection pane="topRight" activeCell="C1" sqref="C1"/>
      <selection pane="bottomLeft" activeCell="A3" sqref="A3"/>
      <selection pane="bottomRight" activeCell="I2" sqref="I2"/>
    </sheetView>
  </sheetViews>
  <sheetFormatPr defaultColWidth="8.7109375" defaultRowHeight="15"/>
  <cols>
    <col min="1" max="1" width="16" customWidth="1"/>
    <col min="2" max="2" width="12" customWidth="1"/>
    <col min="3" max="3" width="74.5703125" customWidth="1"/>
    <col min="4" max="4" width="78.42578125" customWidth="1"/>
    <col min="5" max="6" width="34" customWidth="1"/>
    <col min="7" max="7" width="14" customWidth="1"/>
    <col min="8" max="8" width="12" customWidth="1"/>
    <col min="9" max="10" width="14" customWidth="1"/>
  </cols>
  <sheetData>
    <row r="1" spans="1:10" ht="31.5" customHeight="1">
      <c r="A1" s="4" t="s">
        <v>423</v>
      </c>
      <c r="B1" s="4" t="s">
        <v>424</v>
      </c>
      <c r="C1" s="4" t="s">
        <v>425</v>
      </c>
      <c r="D1" s="4" t="s">
        <v>426</v>
      </c>
      <c r="E1" s="4" t="s">
        <v>427</v>
      </c>
      <c r="F1" s="4" t="s">
        <v>428</v>
      </c>
      <c r="G1" s="4" t="s">
        <v>429</v>
      </c>
      <c r="H1" s="8" t="s">
        <v>430</v>
      </c>
      <c r="I1" s="8" t="s">
        <v>431</v>
      </c>
      <c r="J1" s="8" t="s">
        <v>432</v>
      </c>
    </row>
    <row r="2" spans="1:10" ht="42.75" customHeight="1">
      <c r="A2" s="26" t="s">
        <v>693</v>
      </c>
      <c r="B2" s="26" t="s">
        <v>608</v>
      </c>
      <c r="C2" s="26" t="s">
        <v>694</v>
      </c>
      <c r="D2" s="28" t="s">
        <v>696</v>
      </c>
      <c r="E2" s="29" t="s">
        <v>695</v>
      </c>
      <c r="F2" s="27" t="s">
        <v>697</v>
      </c>
      <c r="G2" t="s">
        <v>433</v>
      </c>
      <c r="H2" s="1"/>
      <c r="I2" s="1" t="s">
        <v>698</v>
      </c>
      <c r="J2" s="1"/>
    </row>
    <row r="3" spans="1:10">
      <c r="A3" s="1"/>
      <c r="B3" s="1"/>
      <c r="C3" s="1"/>
      <c r="D3" s="1"/>
      <c r="E3" s="1"/>
      <c r="F3" s="1"/>
      <c r="G3" s="1"/>
      <c r="H3" s="1"/>
      <c r="I3" s="1"/>
      <c r="J3" s="1"/>
    </row>
    <row r="4" spans="1:10">
      <c r="A4" s="1"/>
      <c r="B4" s="1"/>
      <c r="C4" s="1"/>
      <c r="D4" s="1"/>
      <c r="E4" s="1"/>
      <c r="F4" s="1"/>
      <c r="G4" s="1"/>
      <c r="H4" s="1"/>
      <c r="I4" s="1"/>
      <c r="J4" s="1"/>
    </row>
    <row r="5" spans="1:10">
      <c r="A5" s="1"/>
      <c r="B5" s="1"/>
      <c r="C5" s="1"/>
      <c r="D5" s="1"/>
      <c r="E5" s="1"/>
      <c r="F5" s="1"/>
      <c r="G5" s="1"/>
      <c r="H5" s="1"/>
      <c r="I5" s="1"/>
      <c r="J5" s="1"/>
    </row>
  </sheetData>
  <dataValidations count="2">
    <dataValidation type="list" allowBlank="1" sqref="G3: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cols>
    <col min="1" max="1" width="18" customWidth="1"/>
    <col min="2" max="2" width="44" customWidth="1"/>
    <col min="3" max="3" width="14" customWidth="1"/>
    <col min="4" max="8" width="12" customWidth="1"/>
    <col min="9" max="9" width="16" customWidth="1"/>
    <col min="10" max="10" width="12" customWidth="1"/>
  </cols>
  <sheetData>
    <row r="1" spans="1:10" ht="18">
      <c r="A1" s="2" t="s">
        <v>434</v>
      </c>
    </row>
    <row r="3" spans="1:10" ht="31.5" customHeight="1">
      <c r="A3" s="4" t="s">
        <v>0</v>
      </c>
      <c r="B3" s="4" t="s">
        <v>1</v>
      </c>
      <c r="C3" s="4" t="s">
        <v>435</v>
      </c>
      <c r="D3" s="4" t="s">
        <v>436</v>
      </c>
      <c r="E3" s="4" t="s">
        <v>437</v>
      </c>
      <c r="F3" s="4" t="s">
        <v>438</v>
      </c>
      <c r="G3" s="4" t="s">
        <v>439</v>
      </c>
      <c r="H3" s="4" t="s">
        <v>44</v>
      </c>
      <c r="I3" s="4" t="s">
        <v>440</v>
      </c>
      <c r="J3" s="4" t="s">
        <v>441</v>
      </c>
    </row>
    <row r="4" spans="1:10">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c r="A12" s="10" t="s">
        <v>442</v>
      </c>
      <c r="B12" s="3" t="s">
        <v>443</v>
      </c>
      <c r="C12" s="11"/>
      <c r="D12" s="10">
        <f>SUM(D4:D11)</f>
        <v>64</v>
      </c>
      <c r="E12" s="10">
        <f>SUM(E4:E11)</f>
        <v>38</v>
      </c>
      <c r="F12" s="10">
        <f>SUM(F4:F11)</f>
        <v>38</v>
      </c>
      <c r="G12" s="10">
        <f>SUM(G4:G11)</f>
        <v>0</v>
      </c>
      <c r="H12" s="10">
        <f>SUM(H4:H11)</f>
        <v>26</v>
      </c>
      <c r="I12" s="12">
        <f t="shared" si="2"/>
        <v>1</v>
      </c>
      <c r="J12" s="10">
        <f>SUM(J4:J11)</f>
        <v>0</v>
      </c>
    </row>
    <row r="14" spans="1:10">
      <c r="A14" s="13" t="s">
        <v>444</v>
      </c>
    </row>
    <row r="15" spans="1:10" ht="31.5" customHeight="1">
      <c r="A15" s="4" t="s">
        <v>24</v>
      </c>
      <c r="B15" s="4"/>
      <c r="C15" s="4"/>
      <c r="D15" s="4" t="s">
        <v>436</v>
      </c>
      <c r="E15" s="4" t="s">
        <v>438</v>
      </c>
      <c r="F15" s="4" t="s">
        <v>439</v>
      </c>
    </row>
    <row r="16" spans="1:10">
      <c r="A16" s="7" t="s">
        <v>37</v>
      </c>
      <c r="B16" s="1"/>
      <c r="C16" s="1"/>
      <c r="D16" s="6">
        <f>COUNTIF('Test Case'!$D:$D,$A16)</f>
        <v>19</v>
      </c>
      <c r="E16" s="6">
        <f>COUNTIFS('Test Case'!$D:$D,$A16,'Test Case'!$L:$L,"PASS")</f>
        <v>11</v>
      </c>
      <c r="F16" s="6">
        <f>COUNTIFS('Test Case'!$D:$D,$A16,'Test Case'!$L:$L,"FAIL")</f>
        <v>0</v>
      </c>
    </row>
    <row r="17" spans="1:10">
      <c r="A17" s="7" t="s">
        <v>54</v>
      </c>
      <c r="B17" s="1"/>
      <c r="C17" s="1"/>
      <c r="D17" s="6">
        <f>COUNTIF('Test Case'!$D:$D,$A17)</f>
        <v>28</v>
      </c>
      <c r="E17" s="6">
        <f>COUNTIFS('Test Case'!$D:$D,$A17,'Test Case'!$L:$L,"PASS")</f>
        <v>15</v>
      </c>
      <c r="F17" s="6">
        <f>COUNTIFS('Test Case'!$D:$D,$A17,'Test Case'!$L:$L,"FAIL")</f>
        <v>0</v>
      </c>
    </row>
    <row r="18" spans="1:10">
      <c r="A18" s="7" t="s">
        <v>74</v>
      </c>
      <c r="B18" s="1"/>
      <c r="C18" s="1"/>
      <c r="D18" s="6">
        <f>COUNTIF('Test Case'!$D:$D,$A18)</f>
        <v>16</v>
      </c>
      <c r="E18" s="6">
        <f>COUNTIFS('Test Case'!$D:$D,$A18,'Test Case'!$L:$L,"PASS")</f>
        <v>12</v>
      </c>
      <c r="F18" s="6">
        <f>COUNTIFS('Test Case'!$D:$D,$A18,'Test Case'!$L:$L,"FAIL")</f>
        <v>0</v>
      </c>
    </row>
    <row r="19" spans="1:10">
      <c r="A19" s="7" t="s">
        <v>20</v>
      </c>
      <c r="B19" s="1"/>
      <c r="C19" s="1"/>
      <c r="D19" s="6">
        <f>COUNTIF('Test Case'!$D:$D,$A19)</f>
        <v>24</v>
      </c>
      <c r="E19" s="6">
        <f>COUNTIFS('Test Case'!$D:$D,$A19,'Test Case'!$L:$L,"PASS")</f>
        <v>14</v>
      </c>
      <c r="F19" s="6">
        <f>COUNTIFS('Test Case'!$D:$D,$A19,'Test Case'!$L:$L,"FAIL")</f>
        <v>1</v>
      </c>
    </row>
    <row r="20" spans="1:10">
      <c r="A20" s="7" t="s">
        <v>298</v>
      </c>
      <c r="B20" s="1"/>
      <c r="C20" s="1"/>
      <c r="D20" s="6">
        <f>COUNTIF('Test Case'!$D:$D,$A20)</f>
        <v>1</v>
      </c>
      <c r="E20" s="6">
        <f>COUNTIFS('Test Case'!$D:$D,$A20,'Test Case'!$L:$L,"PASS")</f>
        <v>0</v>
      </c>
      <c r="F20" s="6">
        <f>COUNTIFS('Test Case'!$D:$D,$A20,'Test Case'!$L:$L,"FAIL")</f>
        <v>0</v>
      </c>
    </row>
    <row r="23" spans="1:10">
      <c r="A23" s="13" t="s">
        <v>445</v>
      </c>
    </row>
    <row r="24" spans="1:10" ht="31.5" customHeight="1">
      <c r="A24" s="4" t="s">
        <v>446</v>
      </c>
      <c r="B24" s="4"/>
      <c r="C24" s="4"/>
      <c r="D24" s="4" t="s">
        <v>441</v>
      </c>
      <c r="E24" s="4" t="s">
        <v>447</v>
      </c>
      <c r="F24" s="4" t="s">
        <v>448</v>
      </c>
    </row>
    <row r="25" spans="1:10">
      <c r="A25" s="7" t="s">
        <v>449</v>
      </c>
      <c r="B25" s="1"/>
      <c r="C25" s="1"/>
      <c r="D25" s="6">
        <f>COUNTIFS('Bug Report'!$A:$A,"BUG-N5-*",'Bug Report'!$G:$G,$A25)</f>
        <v>0</v>
      </c>
      <c r="E25" s="6">
        <f>COUNTIFS('Bug Report'!$A:$A,"BUG-N5-*",'Bug Report'!$G:$G,$A25,'Bug Report'!$I:$I,"Đã retest đạt")</f>
        <v>0</v>
      </c>
      <c r="F25" s="6">
        <f>D25-E25</f>
        <v>0</v>
      </c>
    </row>
    <row r="26" spans="1:10">
      <c r="A26" s="7" t="s">
        <v>433</v>
      </c>
      <c r="B26" s="1"/>
      <c r="C26" s="1"/>
      <c r="D26" s="6">
        <f>COUNTIFS('Bug Report'!$A:$A,"BUG-N5-*",'Bug Report'!$G:$G,$A26)</f>
        <v>1</v>
      </c>
      <c r="E26" s="6">
        <f>COUNTIFS('Bug Report'!$A:$A,"BUG-N5-*",'Bug Report'!$G:$G,$A26,'Bug Report'!$I:$I,"Đã retest đạt")</f>
        <v>0</v>
      </c>
      <c r="F26" s="6">
        <f>D26-E26</f>
        <v>1</v>
      </c>
    </row>
    <row r="27" spans="1:10">
      <c r="A27" s="7" t="s">
        <v>450</v>
      </c>
      <c r="B27" s="1"/>
      <c r="C27" s="1"/>
      <c r="D27" s="6">
        <f>COUNTIFS('Bug Report'!$A:$A,"BUG-N5-*",'Bug Report'!$G:$G,$A27)</f>
        <v>0</v>
      </c>
      <c r="E27" s="6">
        <f>COUNTIFS('Bug Report'!$A:$A,"BUG-N5-*",'Bug Report'!$G:$G,$A27,'Bug Report'!$I:$I,"Đã retest đạt")</f>
        <v>0</v>
      </c>
      <c r="F27" s="6">
        <f>D27-E27</f>
        <v>0</v>
      </c>
    </row>
    <row r="28" spans="1:10">
      <c r="A28" s="7" t="s">
        <v>451</v>
      </c>
      <c r="B28" s="1"/>
      <c r="C28" s="1"/>
      <c r="D28" s="6">
        <f>COUNTIFS('Bug Report'!$A:$A,"BUG-N5-*",'Bug Report'!$G:$G,$A28)</f>
        <v>0</v>
      </c>
      <c r="E28" s="6">
        <f>COUNTIFS('Bug Report'!$A:$A,"BUG-N5-*",'Bug Report'!$G:$G,$A28,'Bug Report'!$I:$I,"Đã retest đạt")</f>
        <v>0</v>
      </c>
      <c r="F28" s="6">
        <f>D28-E28</f>
        <v>0</v>
      </c>
    </row>
    <row r="30" spans="1:10">
      <c r="A30" s="13" t="s">
        <v>452</v>
      </c>
    </row>
    <row r="31" spans="1:10" ht="19.5" customHeight="1">
      <c r="A31" s="3" t="s">
        <v>453</v>
      </c>
      <c r="B31" s="24" t="str">
        <f>"Đã chạy "&amp;E12&amp;" / "&amp;D12&amp;" TC; PASS "&amp;F12&amp;"; FAIL "&amp;G12&amp;"; tỉ lệ pass "&amp;IF(E12=0,"-",TEXT(F12/E12,"0.0%"))</f>
        <v>Đã chạy 38 / 64 TC; PASS 38; FAIL 0; tỉ lệ pass 100.0%</v>
      </c>
      <c r="C31" s="24"/>
      <c r="D31" s="24"/>
      <c r="E31" s="24"/>
      <c r="F31" s="24"/>
      <c r="G31" s="24"/>
      <c r="H31" s="24"/>
      <c r="I31" s="24"/>
      <c r="J31" s="24"/>
    </row>
    <row r="32" spans="1:10" ht="48" customHeight="1">
      <c r="A32" s="3" t="s">
        <v>454</v>
      </c>
      <c r="B32" s="25"/>
      <c r="C32" s="25"/>
      <c r="D32" s="25"/>
      <c r="E32" s="25"/>
      <c r="F32" s="25"/>
      <c r="G32" s="25"/>
      <c r="H32" s="25"/>
      <c r="I32" s="25"/>
      <c r="J32" s="25"/>
    </row>
    <row r="33" spans="1:10" ht="48" customHeight="1">
      <c r="A33" s="3" t="s">
        <v>455</v>
      </c>
      <c r="B33" s="25"/>
      <c r="C33" s="25"/>
      <c r="D33" s="25"/>
      <c r="E33" s="25"/>
      <c r="F33" s="25"/>
      <c r="G33" s="25"/>
      <c r="H33" s="25"/>
      <c r="I33" s="25"/>
      <c r="J33" s="25"/>
    </row>
    <row r="34" spans="1:10" ht="48" customHeight="1">
      <c r="A34" s="3" t="s">
        <v>456</v>
      </c>
      <c r="B34" s="25"/>
      <c r="C34" s="25"/>
      <c r="D34" s="25"/>
      <c r="E34" s="25"/>
      <c r="F34" s="25"/>
      <c r="G34" s="25"/>
      <c r="H34" s="25"/>
      <c r="I34" s="25"/>
      <c r="J34" s="25"/>
    </row>
    <row r="35" spans="1:10" ht="48" customHeight="1">
      <c r="A35" s="3" t="s">
        <v>457</v>
      </c>
      <c r="B35" s="25"/>
      <c r="C35" s="25"/>
      <c r="D35" s="25"/>
      <c r="E35" s="25"/>
      <c r="F35" s="25"/>
      <c r="G35" s="25"/>
      <c r="H35" s="25"/>
      <c r="I35" s="25"/>
      <c r="J35" s="25"/>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2026-10-14T12:10:52Z</dcterms:modified>
  <dc:language>en-US</dc:language>
</cp:coreProperties>
</file>