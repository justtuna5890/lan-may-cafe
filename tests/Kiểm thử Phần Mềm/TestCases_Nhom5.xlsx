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BAA179AD-E711-4667-96E4-50C4828CA58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E11" i="6" s="1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F26" i="6" l="1"/>
  <c r="F25" i="6"/>
  <c r="E7" i="6"/>
  <c r="J12" i="6"/>
  <c r="E10" i="6"/>
  <c r="E5" i="6"/>
  <c r="E6" i="6"/>
  <c r="G12" i="6"/>
  <c r="F12" i="6"/>
  <c r="I11" i="6"/>
  <c r="H11" i="6"/>
  <c r="H9" i="6"/>
  <c r="I9" i="6"/>
  <c r="I4" i="6"/>
  <c r="H8" i="6"/>
  <c r="I8" i="6"/>
  <c r="D12" i="6"/>
  <c r="H4" i="6"/>
  <c r="H7" i="6" l="1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<sst xmlns="http://schemas.openxmlformats.org/spreadsheetml/2006/main" count="869" uniqueCount="503">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</sst>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KQ-test\TC-21-03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5" Type="http://schemas.openxmlformats.org/officeDocument/2006/relationships/hyperlink" Target="KQ-test\TC-21-06.png" TargetMode="External"/><Relationship Id="rId4" Type="http://schemas.openxmlformats.org/officeDocument/2006/relationships/hyperlink" Target="KQ-test\TC-21-05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H3" activePane="bottomRight" state="frozen"/>
      <selection pane="topRight" activeCell="D1" sqref="D1"/>
      <selection pane="bottomLeft" activeCell="A3" sqref="A3"/>
      <selection pane="bottomRight" activeCell="J7" sqref="J7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/>
      <c r="L8" s="6" t="s">
        <v>44</v>
      </c>
      <c r="M8" s="1"/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/>
      <c r="L9" s="6" t="s">
        <v>44</v>
      </c>
      <c r="M9" s="1"/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/>
      <c r="L10" s="6" t="s">
        <v>44</v>
      </c>
      <c r="M10" s="1"/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/>
      <c r="L11" s="6" t="s">
        <v>44</v>
      </c>
      <c r="M11" s="1"/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/>
      <c r="L12" s="6" t="s">
        <v>44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/>
      <c r="L13" s="6" t="s">
        <v>44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/>
      <c r="L14" s="6" t="s">
        <v>44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/>
      <c r="L15" s="6" t="s">
        <v>44</v>
      </c>
      <c r="M15" s="1"/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/>
      <c r="L16" s="6" t="s">
        <v>44</v>
      </c>
      <c r="M16" s="1"/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6</v>
      </c>
      <c r="F4" s="6">
        <f>COUNTIFS('Test Case'!$B:$B,$A4,'Test Case'!$L:$L,"PASS")</f>
        <v>6</v>
      </c>
      <c r="G4" s="6">
        <f>COUNTIFS('Test Case'!$B:$B,$A4,'Test Case'!$L:$L,"FAIL")</f>
        <v>0</v>
      </c>
      <c r="H4" s="6">
        <f t="shared" ref="H4:H11" si="1">D4-E4</f>
        <v>5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0</v>
      </c>
      <c r="F5" s="6">
        <f>COUNTIFS('Test Case'!$B:$B,$A5,'Test Case'!$L:$L,"PASS")</f>
        <v>0</v>
      </c>
      <c r="G5" s="6">
        <f>COUNTIFS('Test Case'!$B:$B,$A5,'Test Case'!$L:$L,"FAIL")</f>
        <v>0</v>
      </c>
      <c r="H5" s="6">
        <f t="shared" si="1"/>
        <v>11</v>
      </c>
      <c r="I5" s="9" t="str">
        <f t="shared" si="2"/>
        <v>-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6</v>
      </c>
      <c r="F12" s="10">
        <f>SUM(F4:F11)</f>
        <v>6</v>
      </c>
      <c r="G12" s="10">
        <f>SUM(G4:G11)</f>
        <v>0</v>
      </c>
      <c r="H12" s="10">
        <f>SUM(H4:H11)</f>
        <v>62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2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2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2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0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6 / 68 TC; PASS 6;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2026-10-11T05:57:55Z</dcterms:modified>
  <dc:language>en-US</dc:language>
</cp:coreProperties>
</file>