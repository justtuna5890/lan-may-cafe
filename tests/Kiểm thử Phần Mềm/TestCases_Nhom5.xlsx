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648A381E-8F35-4D57-8F56-BCEEEE8A6FAF}"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E9" i="6" s="1"/>
  <c r="D9" i="6"/>
  <c r="J8" i="6"/>
  <c r="G8" i="6"/>
  <c r="F8" i="6"/>
  <c r="E8" i="6" s="1"/>
  <c r="D8" i="6"/>
  <c r="J7" i="6"/>
  <c r="G7" i="6"/>
  <c r="F7" i="6"/>
  <c r="D7" i="6"/>
  <c r="J6" i="6"/>
  <c r="G6" i="6"/>
  <c r="F6" i="6"/>
  <c r="D6" i="6"/>
  <c r="J5" i="6"/>
  <c r="G5" i="6"/>
  <c r="F5" i="6"/>
  <c r="D5" i="6"/>
  <c r="J4" i="6"/>
  <c r="G4" i="6"/>
  <c r="F4" i="6"/>
  <c r="D4" i="6"/>
  <c r="E4" i="6" l="1"/>
  <c r="E11" i="6"/>
  <c r="F26" i="6"/>
  <c r="F25" i="6"/>
  <c r="E7" i="6"/>
  <c r="J12" i="6"/>
  <c r="E10" i="6"/>
  <c r="E5" i="6"/>
  <c r="E6" i="6"/>
  <c r="G12" i="6"/>
  <c r="F12" i="6"/>
  <c r="H9" i="6"/>
  <c r="I9" i="6"/>
  <c r="H8" i="6"/>
  <c r="I8" i="6"/>
  <c r="D12" i="6"/>
  <c r="H4" i="6" l="1"/>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<sst xmlns="http://schemas.openxmlformats.org/spreadsheetml/2006/main" count="877" uniqueCount="518">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</sst>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color rgb="FF1F3864"/>
      <name val="Arial"/>
      <charset val="1"/>
    </font>
    <font>
      <b/>
      <sz val="10"/>
      <color rgb="FF000000"/>
      <name val="Arial"/>
      <charset val="1"/>
    </font>
    <font>
      <sz val="10"/>
      <color rgb="FF000000"/>
      <name val="Arial"/>
      <charset val="1"/>
    </font>
    <font>
      <b/>
      <sz val="10"/>
      <color rgb="FFFFFFFF"/>
      <name val="Arial"/>
      <charset val="1"/>
    </font>
    <font>
      <b/>
      <sz val="11"/>
      <color rgb="FF1F3864"/>
      <name val="Arial"/>
      <charset val="1"/>
    </font>
    <font>
      <u/>
      <sz val="11"/>
      <color theme="10"/>
      <name val="Calibri"/>
      <family val="2"/>
      <charset val="1"/>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6" fillId="0" borderId="0" applyNumberFormat="0" applyFill="0" applyBorder="0" applyAlignment="0" applyProtection="0"/>
  </cellStyleXfs>
  <cellXfs count="17">
    <xf numFmtId="0" fontId="0" fillId="0" borderId="0" xfId="0"/>
    <xf numFmtId="0" fontId="3" fillId="0" borderId="1" xfId="0" applyFont="1" applyBorder="1" applyAlignment="1">
      <alignment vertical="top" wrapText="1"/>
    </xf>
    <xf numFmtId="0" fontId="1" fillId="0" borderId="0" xfId="0" applyFont="1"/>
    <xf numFmtId="0" fontId="2" fillId="3" borderId="1" xfId="0" applyFont="1" applyFill="1" applyBorder="1" applyAlignment="1">
      <alignment vertical="top" wrapText="1"/>
    </xf>
    <xf numFmtId="0" fontId="4"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vertical="top" wrapText="1"/>
    </xf>
    <xf numFmtId="0" fontId="4" fillId="5" borderId="1" xfId="0" applyFont="1" applyFill="1" applyBorder="1" applyAlignment="1">
      <alignment horizontal="center" vertical="center" wrapText="1"/>
    </xf>
    <xf numFmtId="164" fontId="3" fillId="0" borderId="1" xfId="0" applyNumberFormat="1" applyFont="1" applyBorder="1" applyAlignment="1">
      <alignment horizontal="center" vertical="top" wrapText="1"/>
    </xf>
    <xf numFmtId="0" fontId="2" fillId="3" borderId="1" xfId="0" applyFont="1" applyFill="1" applyBorder="1" applyAlignment="1">
      <alignment horizontal="center" vertical="top" wrapText="1"/>
    </xf>
    <xf numFmtId="0" fontId="3" fillId="3" borderId="1" xfId="0" applyFont="1" applyFill="1" applyBorder="1" applyAlignment="1">
      <alignment vertical="top" wrapText="1"/>
    </xf>
    <xf numFmtId="164" fontId="2" fillId="3" borderId="1" xfId="0" applyNumberFormat="1" applyFont="1" applyFill="1" applyBorder="1" applyAlignment="1">
      <alignment horizontal="center" vertical="top" wrapText="1"/>
    </xf>
    <xf numFmtId="0" fontId="5" fillId="0" borderId="0" xfId="0" applyFont="1"/>
    <xf numFmtId="0" fontId="6" fillId="0" borderId="1" xfId="1" applyBorder="1" applyAlignment="1">
      <alignment vertical="top" wrapText="1"/>
    </xf>
    <xf numFmtId="0" fontId="3" fillId="0" borderId="1" xfId="0" applyFont="1" applyBorder="1" applyAlignment="1">
      <alignment vertical="top" wrapText="1"/>
    </xf>
    <xf numFmtId="0" fontId="3" fillId="4" borderId="1" xfId="0" applyFont="1" applyFill="1" applyBorder="1" applyAlignment="1">
      <alignment vertical="top" wrapText="1"/>
    </xf>
  </cellXfs>
  <cellStyles count="2">
    <cellStyle name="Hyperlink" xfId="1" builtinId="8"/>
    <cellStyle name="Normal" xfId="0" builtinId="0"/>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KQ-test\TC-01-01.png" TargetMode="External"/><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65"/>
  <sheetViews>
    <sheetView tabSelected="1" zoomScale="70" zoomScaleNormal="70" workbookViewId="0">
      <pane xSplit="3" ySplit="1" topLeftCell="J2" activePane="bottomRight" state="frozen"/>
      <selection pane="topRight" activeCell="D1" sqref="D1"/>
      <selection pane="bottomLeft" activeCell="A3" sqref="A3"/>
      <selection pane="bottomRight" activeCell="J70" sqref="J70"/>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51"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51"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38.25"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63.75"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89.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51"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51"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51"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51"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38.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102"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89.25"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76.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ht="51"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51"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63.7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51"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76.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25.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25.5"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25.5"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25.5"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25.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ht="25.5"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38.2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38.2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ht="38.25"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ht="25.5"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38.2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38.2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51"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102"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76.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102"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51"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89.25"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63.7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25.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25.5"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sheetData>
  <autoFilter ref="A1:N65" xr:uid="{00000000-0009-0000-0000-000003000000}">
    <sortState xmlns:xlrd2="http://schemas.microsoft.com/office/spreadsheetml/2017/richdata2" ref="A2:N65">
      <sortCondition ref="A1:A65"/>
    </sortState>
  </autoFilter>
  <conditionalFormatting sqref="L2:L395">
    <cfRule type="cellIs" dxfId="2" priority="2" operator="equal">
      <formula>"PASS"</formula>
    </cfRule>
    <cfRule type="cellIs" dxfId="1" priority="3" operator="equal">
      <formula>"FAIL"</formula>
    </cfRule>
    <cfRule type="cellIs" dxfId="0" priority="4"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16</v>
      </c>
      <c r="E16" s="6">
        <f>COUNTIFS('Test Case'!$D:$D,$A16,'Test Case'!$L:$L,"PASS")</f>
        <v>8</v>
      </c>
      <c r="F16" s="6">
        <f>COUNTIFS('Test Case'!$D:$D,$A16,'Test Case'!$L:$L,"FAIL")</f>
        <v>0</v>
      </c>
    </row>
    <row r="17" spans="1:10" x14ac:dyDescent="0.25">
      <c r="A17" s="7" t="s">
        <v>54</v>
      </c>
      <c r="B17" s="1"/>
      <c r="C17" s="1"/>
      <c r="D17" s="6">
        <f>COUNTIF('Test Case'!$D:$D,$A17)</f>
        <v>19</v>
      </c>
      <c r="E17" s="6">
        <f>COUNTIFS('Test Case'!$D:$D,$A17,'Test Case'!$L:$L,"PASS")</f>
        <v>9</v>
      </c>
      <c r="F17" s="6">
        <f>COUNTIFS('Test Case'!$D:$D,$A17,'Test Case'!$L:$L,"FAIL")</f>
        <v>0</v>
      </c>
    </row>
    <row r="18" spans="1:10" x14ac:dyDescent="0.25">
      <c r="A18" s="7" t="s">
        <v>74</v>
      </c>
      <c r="B18" s="1"/>
      <c r="C18" s="1"/>
      <c r="D18" s="6">
        <f>COUNTIF('Test Case'!$D:$D,$A18)</f>
        <v>12</v>
      </c>
      <c r="E18" s="6">
        <f>COUNTIFS('Test Case'!$D:$D,$A18,'Test Case'!$L:$L,"PASS")</f>
        <v>10</v>
      </c>
      <c r="F18" s="6">
        <f>COUNTIFS('Test Case'!$D:$D,$A18,'Test Case'!$L:$L,"FAIL")</f>
        <v>0</v>
      </c>
    </row>
    <row r="19" spans="1:10" x14ac:dyDescent="0.25">
      <c r="A19" s="7" t="s">
        <v>20</v>
      </c>
      <c r="B19" s="1"/>
      <c r="C19" s="1"/>
      <c r="D19" s="6">
        <f>COUNTIF('Test Case'!$D:$D,$A19)</f>
        <v>16</v>
      </c>
      <c r="E19" s="6">
        <f>COUNTIFS('Test Case'!$D:$D,$A19,'Test Case'!$L:$L,"PASS")</f>
        <v>11</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15" t="str">
        <f>"Đã chạy "&amp;E12&amp;" / "&amp;D12&amp;" TC; PASS "&amp;F12&amp;"; FAIL "&amp;G12&amp;"; tỉ lệ pass "&amp;IF(E12=0,"-",TEXT(F12/E12,"0.0%"))</f>
        <v>Đã chạy 38 / 64 TC; PASS 38; FAIL 0; tỉ lệ pass 100.0%</v>
      </c>
      <c r="C31" s="15"/>
      <c r="D31" s="15"/>
      <c r="E31" s="15"/>
      <c r="F31" s="15"/>
      <c r="G31" s="15"/>
      <c r="H31" s="15"/>
      <c r="I31" s="15"/>
      <c r="J31" s="15"/>
    </row>
    <row r="32" spans="1:10" ht="48" customHeight="1" x14ac:dyDescent="0.25">
      <c r="A32" s="3" t="s">
        <v>454</v>
      </c>
      <c r="B32" s="16"/>
      <c r="C32" s="16"/>
      <c r="D32" s="16"/>
      <c r="E32" s="16"/>
      <c r="F32" s="16"/>
      <c r="G32" s="16"/>
      <c r="H32" s="16"/>
      <c r="I32" s="16"/>
      <c r="J32" s="16"/>
    </row>
    <row r="33" spans="1:10" ht="48" customHeight="1" x14ac:dyDescent="0.25">
      <c r="A33" s="3" t="s">
        <v>455</v>
      </c>
      <c r="B33" s="16"/>
      <c r="C33" s="16"/>
      <c r="D33" s="16"/>
      <c r="E33" s="16"/>
      <c r="F33" s="16"/>
      <c r="G33" s="16"/>
      <c r="H33" s="16"/>
      <c r="I33" s="16"/>
      <c r="J33" s="16"/>
    </row>
    <row r="34" spans="1:10" ht="48" customHeight="1" x14ac:dyDescent="0.25">
      <c r="A34" s="3" t="s">
        <v>456</v>
      </c>
      <c r="B34" s="16"/>
      <c r="C34" s="16"/>
      <c r="D34" s="16"/>
      <c r="E34" s="16"/>
      <c r="F34" s="16"/>
      <c r="G34" s="16"/>
      <c r="H34" s="16"/>
      <c r="I34" s="16"/>
      <c r="J34" s="16"/>
    </row>
    <row r="35" spans="1:10" ht="48" customHeight="1" x14ac:dyDescent="0.25">
      <c r="A35" s="3" t="s">
        <v>457</v>
      </c>
      <c r="B35" s="16"/>
      <c r="C35" s="16"/>
      <c r="D35" s="16"/>
      <c r="E35" s="16"/>
      <c r="F35" s="16"/>
      <c r="G35" s="16"/>
      <c r="H35" s="16"/>
      <c r="I35" s="16"/>
      <c r="J35" s="16"/>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2026-10-11T07:46:12Z</dcterms:modified>
  <dc:language>en-US</dc:language>
</cp:coreProperties>
</file>