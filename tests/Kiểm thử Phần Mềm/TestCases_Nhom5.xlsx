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3BF80EFA-055A-482C-859C-E36E662DCB38}" xr6:coauthVersionLast="47" xr6:coauthVersionMax="47" xr10:uidLastSave="{00000000-0000-0000-0000-000000000000}"/>
  <bookViews>
    <workbookView xWindow="-120" yWindow="-120" windowWidth="20730" windowHeight="11040" tabRatio="500" activeTab="3" xr2:uid="{00000000-000D-0000-FFFF-FFFF00000000}"/>
  </bookViews>
  <sheets>
    <sheet name="Test Plan" sheetId="1" r:id="rId1"/>
    <sheet name="Dữ liệu test" sheetId="2" r:id="rId2"/>
    <sheet name="SQL hỗ trợ" sheetId="3" r:id="rId3"/>
    <sheet name="Test Case" sheetId="4" r:id="rId4"/>
    <sheet name="Bug Report" sheetId="5" r:id="rId5"/>
    <sheet name="Tổng hợp" sheetId="6" r:id="rId6"/>
    <sheet name="Cần xác nhận" sheetId="7" r:id="rId7"/>
  </sheets>
  <definedNames>
    <definedName name="_xlnm._FilterDatabase" localSheetId="3" hidden="1">'Test Case'!$A$1:$N$69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9" i="6" l="1"/>
  <c r="D29" i="6"/>
  <c r="F29" i="6" s="1"/>
  <c r="E28" i="6"/>
  <c r="D28" i="6"/>
  <c r="F28" i="6" s="1"/>
  <c r="E27" i="6"/>
  <c r="D27" i="6"/>
  <c r="F27" i="6" s="1"/>
  <c r="E26" i="6"/>
  <c r="F26" i="6" s="1"/>
  <c r="D26" i="6"/>
  <c r="F21" i="6"/>
  <c r="E21" i="6"/>
  <c r="D21" i="6"/>
  <c r="F20" i="6"/>
  <c r="E20" i="6"/>
  <c r="D20" i="6"/>
  <c r="F19" i="6"/>
  <c r="E19" i="6"/>
  <c r="D19" i="6"/>
  <c r="F18" i="6"/>
  <c r="E18" i="6"/>
  <c r="D18" i="6"/>
  <c r="F17" i="6"/>
  <c r="E17" i="6"/>
  <c r="D17" i="6"/>
  <c r="J12" i="6"/>
  <c r="G12" i="6"/>
  <c r="F12" i="6"/>
  <c r="E12" i="6" s="1"/>
  <c r="D12" i="6"/>
  <c r="J11" i="6"/>
  <c r="G11" i="6"/>
  <c r="F11" i="6"/>
  <c r="D11" i="6"/>
  <c r="J10" i="6"/>
  <c r="G10" i="6"/>
  <c r="F10" i="6"/>
  <c r="E10" i="6" s="1"/>
  <c r="D10" i="6"/>
  <c r="J9" i="6"/>
  <c r="G9" i="6"/>
  <c r="F9" i="6"/>
  <c r="E9" i="6" s="1"/>
  <c r="D9" i="6"/>
  <c r="J8" i="6"/>
  <c r="G8" i="6"/>
  <c r="F8" i="6"/>
  <c r="E8" i="6" s="1"/>
  <c r="D8" i="6"/>
  <c r="J7" i="6"/>
  <c r="G7" i="6"/>
  <c r="F7" i="6"/>
  <c r="D7" i="6"/>
  <c r="J6" i="6"/>
  <c r="G6" i="6"/>
  <c r="F6" i="6"/>
  <c r="D6" i="6"/>
  <c r="J5" i="6"/>
  <c r="J13" i="6" s="1"/>
  <c r="G5" i="6"/>
  <c r="F5" i="6"/>
  <c r="E5" i="6" s="1"/>
  <c r="D5" i="6"/>
  <c r="G20" i="1"/>
  <c r="G19" i="1"/>
  <c r="G18" i="1"/>
  <c r="G17" i="1"/>
  <c r="G16" i="1"/>
  <c r="G15" i="1"/>
  <c r="G14" i="1"/>
  <c r="G13" i="1"/>
  <c r="E11" i="6" l="1"/>
  <c r="E6" i="6"/>
  <c r="E7" i="6"/>
  <c r="G13" i="6"/>
  <c r="F13" i="6"/>
  <c r="I12" i="6"/>
  <c r="H12" i="6"/>
  <c r="H10" i="6"/>
  <c r="I10" i="6"/>
  <c r="H8" i="6"/>
  <c r="I8" i="6"/>
  <c r="I5" i="6"/>
  <c r="H9" i="6"/>
  <c r="I9" i="6"/>
  <c r="D13" i="6"/>
  <c r="H5" i="6"/>
  <c r="H11" i="6" l="1"/>
  <c r="I11" i="6"/>
  <c r="H6" i="6"/>
  <c r="I6" i="6"/>
  <c r="E13" i="6"/>
  <c r="H7" i="6"/>
  <c r="I7" i="6"/>
  <c r="I13" i="6" l="1"/>
  <c r="B32" i="6"/>
  <c r="H13" i="6"/>
</calcChain>
</file>

<file path=xl/sharedStrings.xml><?xml version="1.0" encoding="utf-8"?>
<sst xmlns="http://schemas.openxmlformats.org/spreadsheetml/2006/main" count="1240" uniqueCount="772">
  <si>
    <t>TEST PLAN – Hệ thống quản lý quán cà phê Làn Mây (Nhóm 5)</t>
  </si>
  <si>
    <t>Ô nền vàng nhạt = ô cần điền thêm sau (môi trường test, kết quả). Các ô còn lại đã điền sẵn.</t>
  </si>
  <si>
    <t>1. Thông tin chung</t>
  </si>
  <si>
    <t>Dự án</t>
  </si>
  <si>
    <t>Lan May Cafe – Nhóm 5 (CNPM cuối kỳ), kiến trúc 3 tầng, Node.js + Express + MySQL 8</t>
  </si>
  <si>
    <t>Người lập</t>
  </si>
  <si>
    <t>Hoàng Anh Kiệt (24110264) – Trưởng kiểm thử</t>
  </si>
  <si>
    <t>Ngày lập / phiên bản</t>
  </si>
  <si>
    <t>Bản 0.2 (11/10/2026): dữ liệu test đã điền theo seed.sql, đã gộp test case của Duy (68 TC / 8 UC)</t>
  </si>
  <si>
    <t>Căn cứ</t>
  </si>
  <si>
    <t>Đề bài C6-D2; Bảng phân công cuối kỳ – Nhóm 5; docs/api-contract.md; schema.sql và seed.sql (nhánh develop); báo cáo cuối kỳ của nhóm. UC Spec, Sequence Diagram và Class Diagram chưa có trong tay, xem mục X12 ở sheet "Cần xác nhận".</t>
  </si>
  <si>
    <t>Mục tiêu</t>
  </si>
  <si>
    <t>Xây dựng bộ test case cho 8 UC đã cài đặt, thực hiện kiểm thử, ghi nhận Pass/Fail và viết bug report cho các test case FAIL (C6-D2).</t>
  </si>
  <si>
    <t>2. Phạm vi: 8 UC và phân công test (cross-testing: người viết code không tự test)</t>
  </si>
  <si>
    <t>UC</t>
  </si>
  <si>
    <t>Tên UC</t>
  </si>
  <si>
    <t>Actor</t>
  </si>
  <si>
    <t>Backend</t>
  </si>
  <si>
    <t>Frontend</t>
  </si>
  <si>
    <t>Viết + chạy test</t>
  </si>
  <si>
    <t>Số TC</t>
  </si>
  <si>
    <t>UC21</t>
  </si>
  <si>
    <t>Đăng nhập hệ thống</t>
  </si>
  <si>
    <t>Tất cả</t>
  </si>
  <si>
    <t>Hậu</t>
  </si>
  <si>
    <t>Kiệt</t>
  </si>
  <si>
    <t>UC01</t>
  </si>
  <si>
    <t>Tạo và gửi order</t>
  </si>
  <si>
    <t>Phục vụ</t>
  </si>
  <si>
    <t>Tuấn</t>
  </si>
  <si>
    <t>UC04</t>
  </si>
  <si>
    <t>Cập nhật order (gọi thêm, sửa, hủy món)</t>
  </si>
  <si>
    <t>UC10</t>
  </si>
  <si>
    <t>Thanh toán hóa đơn (UC10.1 tiền mặt, UC10.2 QR giả lập)</t>
  </si>
  <si>
    <t>Thu ngân</t>
  </si>
  <si>
    <t>UC15</t>
  </si>
  <si>
    <t>Hiển thị danh sách đơn hàng (KDS)</t>
  </si>
  <si>
    <t>Bếp</t>
  </si>
  <si>
    <t>Xuân An</t>
  </si>
  <si>
    <t>Duy</t>
  </si>
  <si>
    <t>UC16</t>
  </si>
  <si>
    <t>Cập nhật trạng thái chế biến</t>
  </si>
  <si>
    <t>UC18</t>
  </si>
  <si>
    <t>Đánh dấu hết nguyên liệu</t>
  </si>
  <si>
    <t>UC08</t>
  </si>
  <si>
    <t>Lập hóa đơn</t>
  </si>
  <si>
    <t>3. Môi trường test (điền khi chạy test)</t>
  </si>
  <si>
    <t>Phiên bản ứng dụng</t>
  </si>
  <si>
    <t xml:space="preserve">Nhánh develop hoặc tag đang test – ghi tag và commit hash (git rev-parse --short HEAD): </t>
  </si>
  <si>
    <t>Phiên bản CSDL / seed</t>
  </si>
  <si>
    <t xml:space="preserve">docs/db/schema.sql + docs/db/seed.sql (MySQL 8, database lan_may_cafe) – ghi commit hash của 2 file: </t>
  </si>
  <si>
    <t>Tài khoản test</t>
  </si>
  <si>
    <t>phucvu01 (PHUC_VU), barista01 (BARISTA), thungan01 (THU_NGAN), chutquan01 (CHU_QUAN), blocked01 (PHUC_VU, BI_KHOA); mật khẩu 123456. Tài khoản vohieu01 (VO_HIEU) tạo bằng SQL, xem sheet "SQL hỗ trợ".</t>
  </si>
  <si>
    <t>Nền tảng</t>
  </si>
  <si>
    <t>Node.js &gt;= 18; MySQL 8; server chạy tại http://localhost:3000 (API: http://localhost:3000/api)</t>
  </si>
  <si>
    <t>Công cụ</t>
  </si>
  <si>
    <t xml:space="preserve">Postman (gọi API), MySQL Workbench (kiểm tra dữ liệu), trình duyệt: ghi tên và phiên bản: </t>
  </si>
  <si>
    <t>Người chạy / ngày chạy</t>
  </si>
  <si>
    <t xml:space="preserve">Kiệt (UC21, UC01, UC04, UC10); Duy (UC15, UC16, UC18, UC08) – ghi ngày chạy: </t>
  </si>
  <si>
    <t>4. Số test case tối thiểu cho mỗi UC (theo C6-D2)</t>
  </si>
  <si>
    <t>Loại test case</t>
  </si>
  <si>
    <t>Số lượng tối thiểu / UC</t>
  </si>
  <si>
    <t>Kỹ thuật áp dụng</t>
  </si>
  <si>
    <t>Happy path (main flow)</t>
  </si>
  <si>
    <t>1</t>
  </si>
  <si>
    <t>Functional test cơ bản</t>
  </si>
  <si>
    <t>Negative, invalid input</t>
  </si>
  <si>
    <t>2</t>
  </si>
  <si>
    <t>Equivalence Partitioning (invalid class)</t>
  </si>
  <si>
    <t>Boundary value</t>
  </si>
  <si>
    <t>Boundary Value Analysis</t>
  </si>
  <si>
    <t>Alternative flow</t>
  </si>
  <si>
    <t>1 / alternative flow trong UC Spec</t>
  </si>
  <si>
    <t>Black-box theo UC Specification</t>
  </si>
  <si>
    <t>Loại bổ sung</t>
  </si>
  <si>
    <t>Không bắt buộc</t>
  </si>
  <si>
    <t>"Phi chức năng": kiểm tra ngoài luồng UC (ví dụ giao diện chống bấm 2 lần)</t>
  </si>
  <si>
    <t>5. Quy trình thực hiện (theo C6-D2)</t>
  </si>
  <si>
    <t>Bước 1 – Chuẩn bị dữ liệu</t>
  </si>
  <si>
    <t>Reset CSDL = chạy schema.sql (tự DROP và tạo lại database) rồi chạy seed.sql, đúng thứ tự này. Không chạy seed.sql hai lần liên tiếp vì sẽ lỗi Duplicate entry. Ghi lại phiên bản ứng dụng và CSDL ở mục 3. Dữ liệu test cụ thể xem sheet "Dữ liệu test".</t>
  </si>
  <si>
    <t>Bước 2 – Chạy từng TC</t>
  </si>
  <si>
    <t>Làm đúng từng bước, không bỏ bước. Ghi Actual Result đúng như quan sát được, không ghi điều bạn nghĩ sẽ xảy ra. Khớp Expected hoàn toàn: PASS; khác ở bất kỳ điểm nào: FAIL. Chụp ảnh bằng chứng, ghi tên file vào cột "Ảnh bằng chứng".</t>
  </si>
  <si>
    <t>Bước 3 – Bug report</t>
  </si>
  <si>
    <t>Mỗi TC FAIL viết 1 bug ở sheet "Bug Report" với đủ 7 trường C6-D2; gửi Tuấn, An, Hậu trong ngày 08/10.</t>
  </si>
  <si>
    <t>Lưu ý khi chạy</t>
  </si>
  <si>
    <t>TC thanh toán (UC10), sửa/hủy món (UC04) làm thay đổi dữ liệu: nạp lại schema.sql + seed.sql trước mỗi nhóm TC (và trước TC đã ghi chú). TC-21-07 khóa tài khoản phucvu01 nên nạp lại DB sau đó. Nếu thiếu thời gian, chạy các TC ưu tiên "Cao" trước.</t>
  </si>
  <si>
    <t>6. Quy ước</t>
  </si>
  <si>
    <t>Mã test case / bug</t>
  </si>
  <si>
    <t>TC-[số UC]-[số thứ tự], ví dụ TC-01-03. Bug: BUG-N5-[số], ví dụ BUG-N5-001. Số UC theo UC diagram cuối (UC01–UC25).</t>
  </si>
  <si>
    <t>Ưu tiên chạy</t>
  </si>
  <si>
    <t>Cao: luồng chính, biên, alternative flow quan trọng. Trung: negative/alternative còn lại. Thấp: ít ảnh hưởng nghiệp vụ.</t>
  </si>
  <si>
    <t>Mức độ nghiêm trọng bug</t>
  </si>
  <si>
    <t>Critical: sai tiền, thu trùng, mất hoặc hỏng dữ liệu. High: ảnh hưởng trực tiếp nghiệp vụ hoặc thiếu xử lý alternative flow (ví dụ gọi được món đã hết). Medium: sai thông báo hoặc mã lỗi nhưng nghiệp vụ vẫn đúng. Low: lỗi giao diện, chính tả.</t>
  </si>
  <si>
    <t>Hạn sửa bug</t>
  </si>
  <si>
    <t>Critical và High: dev sửa trong ngày nhận (Tuấn T8, An A8, Hậu H5). Medium/Low chưa kịp sửa thì chuyển Duy đưa vào mục "Hướng phát triển".</t>
  </si>
  <si>
    <t>7. Mốc thời gian</t>
  </si>
  <si>
    <t>12:00 04/10</t>
  </si>
  <si>
    <t>Gửi mẫu biểu cho Duy (K1)</t>
  </si>
  <si>
    <t>21:00 06/10</t>
  </si>
  <si>
    <t>Gửi Tuấn duyệt test case (K2)</t>
  </si>
  <si>
    <t>21:00 07/10</t>
  </si>
  <si>
    <t>Code freeze, nhận v1.0-rc, bắt đầu chạy test</t>
  </si>
  <si>
    <t>08/10</t>
  </si>
  <si>
    <t>Chạy test, gửi bug report (K3)</t>
  </si>
  <si>
    <t>21:00 09/10</t>
  </si>
  <si>
    <t>Retest, gửi báo cáo kết quả test cho Sơn (K4)</t>
  </si>
  <si>
    <t>14:00 10/10</t>
  </si>
  <si>
    <t>Duyệt bản ghép báo cáo 4 trang (K5)</t>
  </si>
  <si>
    <t>Dữ liệu test lấy từ seed.sql (nhánh develop). Các test case đã ghi sẵn giá trị cụ thể; sheet này để tra cứu nhanh.</t>
  </si>
  <si>
    <t>Ký hiệu cũ</t>
  </si>
  <si>
    <t>Ý nghĩa</t>
  </si>
  <si>
    <t>Giá trị (seed.sql)</t>
  </si>
  <si>
    <t>Ghi chú</t>
  </si>
  <si>
    <t>TK_PV / MK_PV</t>
  </si>
  <si>
    <t>Tài khoản Phục vụ đang hoạt động</t>
  </si>
  <si>
    <t>phucvu01 / 123456 (nv-001)</t>
  </si>
  <si>
    <t>Seed ghi mật khẩu 123456 là "dự kiến"; báo cáo nhóm cũng ghi 123456</t>
  </si>
  <si>
    <t>TK_BARISTA</t>
  </si>
  <si>
    <t>Tài khoản Barista</t>
  </si>
  <si>
    <t>barista01 / 123456 (nv-002)</t>
  </si>
  <si>
    <t>TK_THU_NGAN</t>
  </si>
  <si>
    <t>Tài khoản Thu ngân</t>
  </si>
  <si>
    <t>thungan01 / 123456 (nv-003)</t>
  </si>
  <si>
    <t>TK_CHU_QUAN</t>
  </si>
  <si>
    <t>Tài khoản Chủ quán</t>
  </si>
  <si>
    <t>chutquan01 / 123456 (nv-004)</t>
  </si>
  <si>
    <t>Tên đăng nhập có 2 chữ t (chutquan01), gõ đúng khi đăng nhập</t>
  </si>
  <si>
    <t>TK_KHOA</t>
  </si>
  <si>
    <t>Tài khoản đã bị khóa sẵn</t>
  </si>
  <si>
    <t>blocked01 / 123456 (nv-005)</t>
  </si>
  <si>
    <t>trang_thai = BI_KHOA, so_lan_sai = 5</t>
  </si>
  <si>
    <t>TK_VO_HIEU</t>
  </si>
  <si>
    <t>Tài khoản vô hiệu hóa</t>
  </si>
  <si>
    <t>vohieu01 / 123456 (nv-006)</t>
  </si>
  <si>
    <t>Seed KHÔNG có: tạo bằng SQL ở sheet "SQL hỗ trợ" (X04)</t>
  </si>
  <si>
    <t>BAN_TRONG</t>
  </si>
  <si>
    <t>Bàn TRONG, chưa có đơn</t>
  </si>
  <si>
    <t>ban-01 (B01); cũng có ban-02, 09, 10, 11, 12</t>
  </si>
  <si>
    <t>BAN_CO_DON</t>
  </si>
  <si>
    <t>Bàn DANG_PHUC_VU có đơn</t>
  </si>
  <si>
    <t>ban-03 (B03) có dh-001; ban-04 (B04) có dh-002 (HOAN_THANH)</t>
  </si>
  <si>
    <t>BAN_CAN_DON</t>
  </si>
  <si>
    <t>Bàn CAN_DON</t>
  </si>
  <si>
    <t>ban-05 (B05) có dh-003 đã thanh toán; ban-06 (B06) có dh-004 chưa thanh toán</t>
  </si>
  <si>
    <t>ban-06 bất thường: bàn CAN_DON nhưng đơn vẫn DANG_PHUC_VU (X16)</t>
  </si>
  <si>
    <t>(mới)</t>
  </si>
  <si>
    <t>Bàn DAT_TRUOC (trạng thái thứ 4)</t>
  </si>
  <si>
    <t>ban-07 (B07), ban-08 (B08)</t>
  </si>
  <si>
    <t>Chưa rõ có được gọi món không (X15)</t>
  </si>
  <si>
    <t>MON_A / GIA_A</t>
  </si>
  <si>
    <t>Món CON_HANG thứ nhất</t>
  </si>
  <si>
    <t>mon-02 Cà phê sữa, 30.000</t>
  </si>
  <si>
    <t>Cà phê đen mon-01 25.000 cũng CON_HANG</t>
  </si>
  <si>
    <t>MON_B / GIA_B</t>
  </si>
  <si>
    <t>Món CON_HANG thứ hai</t>
  </si>
  <si>
    <t>mon-04 Trà đào, 40.000</t>
  </si>
  <si>
    <t>MON_TAM_HET</t>
  </si>
  <si>
    <t>Món TAM_HET</t>
  </si>
  <si>
    <t>mon-03 Bạc xỉu, 35.000</t>
  </si>
  <si>
    <t>Liên quan kho-10 (Siro bạc xỉu) tồn kho 0</t>
  </si>
  <si>
    <t>DON_CHO / TONG_CU</t>
  </si>
  <si>
    <t>Đơn dùng cho UC04</t>
  </si>
  <si>
    <t>dh-001 (ban-03), tổng 85.000</t>
  </si>
  <si>
    <t>ct-001 Cà phê sữa x2 DANG_LAM (60.000); ct-002 Cà phê đen x1 CHO_PHA_CHE (25.000)</t>
  </si>
  <si>
    <t>CT_DA_XONG</t>
  </si>
  <si>
    <t>Món DA_XONG</t>
  </si>
  <si>
    <t>ct-003, ct-004 thuộc dh-002 (ban-04, HOAN_THANH, tổng 100.000)</t>
  </si>
  <si>
    <t>Không nằm trong dh-001</t>
  </si>
  <si>
    <t>DON_SAN_SANG / TONG_TIEN</t>
  </si>
  <si>
    <t>Đơn dùng cho UC10 (chưa thanh toán)</t>
  </si>
  <si>
    <t>dh-002 (ban-04), tổng 100.000, mọi món DA_XONG</t>
  </si>
  <si>
    <t>Mỗi lần thanh toán thành công là hết dùng được: nạp lại DB trước TC kế tiếp</t>
  </si>
  <si>
    <t>DON_DA_TT</t>
  </si>
  <si>
    <t>Đơn đã thanh toán</t>
  </si>
  <si>
    <t>dh-003 (ban-05), tổng 60.000, mã GD-20261008-001</t>
  </si>
  <si>
    <t>thanh_toan tt-001, tiền mặt, khách đưa 70.000, thối 10.000</t>
  </si>
  <si>
    <t>DON_CHUA_BEP</t>
  </si>
  <si>
    <t>Đơn chưa đồng bộ bếp (isSynced=false)</t>
  </si>
  <si>
    <t>Seed không có: dùng SQL đặt dh-004 is_synced = FALSE</t>
  </si>
  <si>
    <t>Xem sheet "SQL hỗ trợ"</t>
  </si>
  <si>
    <t>(khác)</t>
  </si>
  <si>
    <t>Đơn khác trong seed</t>
  </si>
  <si>
    <t>dh-004 (ban-06) tổng 70.000: ct-007 Trà đào x1 DANG_LAM (40.000) + ct-008 Cà phê sữa x1 DA_HUY (30.000)</t>
  </si>
  <si>
    <t>tong_tien gồm cả món đã hủy (X16)</t>
  </si>
  <si>
    <t>Chạy trong MySQL Workbench (kết nối vào database lan_may_cafe). Chép từng câu, không cần sửa.</t>
  </si>
  <si>
    <t>Mục đích</t>
  </si>
  <si>
    <t>Câu lệnh / cách làm</t>
  </si>
  <si>
    <t>Dùng ở</t>
  </si>
  <si>
    <t>Reset CSDL về ban đầu</t>
  </si>
  <si>
    <t>1) File &gt; Open SQL Script &gt; schema.sql &gt; bấm biểu tượng tia sét (chạy toàn bộ). 2) Mở seed.sql &gt; chạy toàn bộ. Đúng thứ tự, không chạy seed.sql hai lần liên tiếp (lỗi Duplicate entry). schema.sql tự DROP DATABASE rồi tạo lại.</t>
  </si>
  <si>
    <t>Trước mỗi nhóm TC</t>
  </si>
  <si>
    <t>Số bản ghi sau khi nạp seed</t>
  </si>
  <si>
    <t>Kết quả đúng: nhan_vien 5, ban 12, khach_hang 4, don_hang 4, chi_tiet_don 8, thanh_toan 1, mon_an 15, kho_hang 10, cong_thuc_mon 20 (seed.sql tự chạy câu SELECT này ở cuối).</t>
  </si>
  <si>
    <t>Sau khi nạp</t>
  </si>
  <si>
    <t>Tạo tài khoản vô hiệu hóa vohieu01</t>
  </si>
  <si>
    <t>INSERT INTO nhan_vien (id, username, mat_khau, ho_ten, vai_tro, trang_thai, so_lan_sai) VALUES ('nv-006', 'vohieu01', '$2b$10$VXnS585ISxsI7DldPj5RCu85dHUWJXM5PfRYELfkpHBa9IsIGFDe6', 'Nguyễn Văn Vô Hiệu', 'PHUC_VU', 'VO_HIEU', 0);</t>
  </si>
  <si>
    <t>TC-21-09 (mật khẩu 123456, cùng hash với seed)</t>
  </si>
  <si>
    <t>Tạo đơn chưa đồng bộ bếp</t>
  </si>
  <si>
    <t>UPDATE don_hang SET is_synced = FALSE WHERE id = 'dh-004';</t>
  </si>
  <si>
    <t>TC-10-09</t>
  </si>
  <si>
    <t>Xem tài khoản</t>
  </si>
  <si>
    <t>SELECT username, vai_tro, trang_thai, so_lan_sai FROM nhan_vien;</t>
  </si>
  <si>
    <t>Xem trạng thái bàn</t>
  </si>
  <si>
    <t>SELECT id, so_ban, trang_thai FROM ban ORDER BY so_ban;</t>
  </si>
  <si>
    <t>UC01, UC10</t>
  </si>
  <si>
    <t>Xem đơn hàng</t>
  </si>
  <si>
    <t>SELECT id, ban_id, tong_tien, trang_thai, is_synced FROM don_hang ORDER BY ngay_tao;</t>
  </si>
  <si>
    <t>UC01, UC04, UC10</t>
  </si>
  <si>
    <t>Xem chi tiết một đơn</t>
  </si>
  <si>
    <t>SELECT id, mon_an_id, so_luong, don_gia, trang_thai_che_bien FROM chi_tiet_don WHERE don_hang_id = 'dh-001';</t>
  </si>
  <si>
    <t>UC01, UC04 (đổi mã đơn khi cần)</t>
  </si>
  <si>
    <t>Xem thanh toán</t>
  </si>
  <si>
    <t>SELECT id, don_hang_id, phuong_thuc, so_tien, tien_khach_dua, tien_thoi, ma_giao_dich, trang_thai FROM thanh_toan;</t>
  </si>
  <si>
    <t>Đếm bản ghi theo mã giao dịch</t>
  </si>
  <si>
    <t>SELECT COUNT(*) FROM thanh_toan WHERE ma_giao_dich = 'gd-test-0001';</t>
  </si>
  <si>
    <t>TC-10-07 (kết quả đúng: 1)</t>
  </si>
  <si>
    <t>Xem món và trạng thái</t>
  </si>
  <si>
    <t>SELECT id, ten_mon, gia, trang_thai FROM mon_an WHERE id IN ('mon-01', 'mon-02', 'mon-03', 'mon-04');</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</si>
  <si>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</si>
  <si>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</si>
  <si>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</si>
  <si>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</si>
  <si>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</si>
  <si>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</si>
  <si>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</si>
  <si>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</si>
  <si>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</si>
  <si>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</si>
  <si>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</si>
  <si>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</si>
  <si>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</si>
  <si>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</si>
  <si>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</si>
  <si>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</si>
  <si>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</si>
  <si>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</si>
  <si>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</si>
  <si>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</si>
  <si>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</si>
  <si>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</si>
  <si>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</si>
  <si>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</si>
  <si>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</si>
  <si>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</si>
  <si>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</si>
  <si>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</si>
  <si>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</si>
  <si>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</si>
  <si>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</si>
  <si>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</si>
  <si>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</si>
  <si>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</si>
  <si>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</si>
  <si>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</si>
  <si>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</si>
  <si>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</si>
  <si>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</si>
  <si>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</si>
  <si>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</si>
  <si>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</si>
  <si>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</si>
  <si>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</si>
  <si>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</si>
  <si>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</si>
  <si>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</si>
  <si>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</si>
  <si>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</si>
  <si>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Cả (a) và (b): HTTP 400, maLoi=THIEU_THONG_TIN. Lỗi hiện ngay dưới ô còn thiếu; không đăng nhập.</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</si>
  <si>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</si>
  <si>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</si>
  <si>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</si>
  <si>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</si>
  <si>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</si>
  <si>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</si>
  <si>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</si>
  <si>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</si>
  <si>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</si>
  <si>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</si>
  <si>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</si>
  <si>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</si>
  <si>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</si>
  <si>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</si>
  <si>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</si>
  <si>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</si>
  <si>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</si>
  <si>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</si>
  <si>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</si>
  <si>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</si>
  <si>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</si>
  <si>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</si>
  <si>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</si>
  <si>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</si>
  <si>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</si>
  <si>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</si>
  <si>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</si>
  <si>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</si>
  <si>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</si>
  <si>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</si>
  <si>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</si>
  <si>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</si>
  <si>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</si>
  <si>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</si>
  <si>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</si>
  <si>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</si>
  <si>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</si>
  <si>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</si>
  <si>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</si>
  <si>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</si>
  <si>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</si>
  <si>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</si>
  <si>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</si>
  <si>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</si>
  <si>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</si>
  <si>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</si>
  <si>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</si>
  <si>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</si>
  <si>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</si>
  <si>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</si>
  <si>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</si>
  <si>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</si>
  <si>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</si>
  <si>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</si>
  <si>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</si>
  <si>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</si>
  <si>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</si>
  <si>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</si>
  <si>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</si>
  <si>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</si>
  <si>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</si>
  <si>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</si>
  <si>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</si>
  <si>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</si>
  <si>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</si>
  <si>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</si>
  <si>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</si>
  <si>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</si>
  <si>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</si>
  <si>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</si>
  <si>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</si>
  <si>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</si>
  <si>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</si>
  <si>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</si>
  <si>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</si>
  <si>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</si>
  <si>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</si>
  <si>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</si>
  <si>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</si>
  <si>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</si>
  <si>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</si>
  <si>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</si>
  <si>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</si>
  <si>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</si>
  <si>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</si>
  <si>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</si>
  <si>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</si>
  <si>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</si>
  <si>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</si>
  <si>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</si>
  <si>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</si>
  <si>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</si>
  <si>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</si>
  <si>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</si>
  <si>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</si>
  <si>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</si>
  <si>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</si>
  <si>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</si>
  <si>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</si>
  <si>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</si>
  <si>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</si>
  <si>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</si>
  <si>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</si>
  <si>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</si>
  <si>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</si>
  <si>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TC-01-10</t>
  </si>
  <si>
    <t>Bếp không phản hồi sau 5 giây: đơn vẫn lưu, isSynced=false</t>
  </si>
  <si>
    <t>Black-box theo UC Spec (EF: bếp không phản hồi)</t>
  </si>
  <si>
    <t>SD Tạo order (msg 2–25); api-contract §3 UC01 (POST /orders); BPC T3 (guiOrderDenKDS, danhDauChuaDongBo)</t>
  </si>
  <si>
    <t>Đã nạp lại schema.sql rồi seed.sql; đã đăng nhập phucvu01. ban-01 (B01) đang TRONG; bếp (KDS) được giả lập không phản hồi quá 5 giây.</t>
  </si>
  <si>
    <t>banId = ban-01 (B01); mon-02 (Cà phê sữa) soLuong = 1; KDS_TIMEOUT_MS = 5000</t>
  </si>
  <si>
    <t>Sau khoảng 5 giây hệ thống vẫn trả kết quả: HTTP 201, isSynced=false.
Đơn vẫn được lưu; bàn chuyển DANG_PHUC_VU. Giao diện không bị treo.</t>
  </si>
  <si>
    <t>Cách giả lập bếp [X06]; giả định HTTP 201 khi isSynced=false. Đơn tạo ra ở đây dùng làm dh-004 cho TC-10-09.</t>
  </si>
  <si>
    <t>TC-01-11</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</si>
  <si>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</si>
  <si>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</si>
  <si>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</si>
  <si>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</si>
  <si>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</si>
  <si>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</si>
  <si>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</si>
  <si>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</si>
  <si>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</si>
  <si>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</si>
  <si>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</si>
  <si>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</si>
  <si>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</si>
  <si>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</si>
  <si>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</si>
  <si>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</si>
  <si>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</si>
  <si>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</si>
  <si>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</si>
  <si>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</si>
  <si>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</si>
  <si>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</si>
  <si>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</si>
  <si>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</si>
  <si>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</si>
  <si>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</si>
  <si>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</si>
  <si>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</si>
  <si>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</si>
  <si>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</si>
  <si>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</si>
  <si>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</si>
  <si>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</si>
  <si>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</si>
  <si>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</si>
  <si>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</si>
  <si>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</si>
  <si>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</si>
  <si>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</si>
  <si>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</si>
  <si>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</si>
  <si>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</si>
  <si>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</si>
  <si>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</si>
  <si>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</si>
  <si>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</si>
  <si>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</si>
  <si>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</si>
  <si>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</si>
  <si>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</si>
  <si>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</si>
  <si>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</si>
  <si>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</si>
  <si>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</si>
  <si>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</si>
  <si>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</si>
  <si>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</si>
  <si>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</si>
  <si>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</si>
  <si>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</si>
  <si>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</si>
  <si>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</si>
  <si>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</si>
  <si>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</si>
  <si>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</si>
  <si>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</si>
  <si>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</si>
  <si>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</si>
  <si>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</si>
  <si>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</si>
  <si>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TC-04-13</t>
  </si>
  <si>
    <t>Sửa món với chiTietId không tồn tại</t>
  </si>
  <si>
    <t>EP (invalid class: id không tồn tại)</t>
  </si>
  <si>
    <t>CD_CapNhat (themMon/suaMon/huyMon); api-contract §3 UC04; mã lỗi MON_TRONG_DON_KHONG_TON_TAI</t>
  </si>
  <si>
    <t>chiTietId = "ct-khongco"</t>
  </si>
  <si>
    <t>HTTP 404, maLoi=MON_TRONG_DON_KHONG_TON_TAI.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</si>
  <si>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</si>
  <si>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</si>
  <si>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</si>
  <si>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</si>
  <si>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</si>
  <si>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</si>
  <si>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</si>
  <si>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</si>
  <si>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</si>
  <si>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</si>
  <si>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</si>
  <si>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phuongThuc = TIEN_MAT; tienKhachDua = 100.000; maGiaoDich mới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</si>
  <si>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</si>
  <si>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</si>
  <si>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</si>
  <si>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</si>
  <si>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</si>
  <si>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</si>
  <si>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</si>
  <si>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</si>
  <si>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</si>
  <si>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</si>
  <si>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</si>
  <si>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</si>
  <si>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</si>
  <si>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</si>
  <si>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</si>
  <si>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</si>
  <si>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</si>
  <si>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</si>
  <si>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</si>
  <si>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</si>
  <si>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</si>
  <si>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</si>
  <si>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</si>
  <si>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</si>
  <si>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</si>
  <si>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</si>
  <si>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</si>
  <si>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</si>
  <si>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Bấm xác nhận 2 lần với cùng mã giao dịch</t>
  </si>
  <si>
    <t>Black-box theo UC Spec (EF: thanh toán trùng)</t>
  </si>
  <si>
    <t>SD_ThanhToan; api-contract §3 UC10 (POST /payments); BPC T6 (findByMaGiaoDich), mục 2 (chặn thanh toán trùng mã)</t>
  </si>
  <si>
    <t>maGiaoDich = "gd-test-0001"; phuongThuc = TIEN_MAT; tienKhachDua = 100.000</t>
  </si>
  <si>
    <t>Lần 1: HTTP 200, daXuLyTruoc=false.
Lần 2: HTTP 200, daXuLyTruoc=true, kết quả giống lần 1; không thu tiền lần hai.
CSDL chỉ có 1 bản ghi thanh_toan với maGiaoDich = gd-test-0001.</t>
  </si>
  <si>
    <t>TC-10-08</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</si>
  <si>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</si>
  <si>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</si>
  <si>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</si>
  <si>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</si>
  <si>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</si>
  <si>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Thanh toán đơn chưa gửi bếp</t>
  </si>
  <si>
    <t>Black-box theo UC Spec (EF: đơn chưa gửi bếp)</t>
  </si>
  <si>
    <t>SD_ThanhToan; api-contract §3 UC10 (POST /payments); mã lỗi DON_CHUA_GUI_BEP</t>
  </si>
  <si>
    <t>Đã đăng nhập thungan01; dh-004 là đơn có isSynced=false (chạy SQL: UPDATE don_hang SET is_synced = FALSE WHERE id = 'dh-004';).</t>
  </si>
  <si>
    <t>donHangId = dh-004; phuongThuc = TIEN_MAT; tienKhachDua đủ; maGiaoDich mới</t>
  </si>
  <si>
    <t>HTTP 409, maLoi=DON_CHUA_GUI_BEP. Không ghi dữ liệu; đơn dh-004 vẫn DANG_PHUC_VU; trạng thái bàn ban-06 giữ nguyên (seed đang để CAN_DON).</t>
  </si>
  <si>
    <t>Có thể tạo đơn chưa đồng bộ từ TC-01-10 [X06]. Lưu ý seed: dh-004 có tong_tien 70.000 gồm cả món DA_HUY 30.000 [X16].</t>
  </si>
  <si>
    <t>TC-10-10</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</si>
  <si>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</si>
  <si>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</si>
  <si>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</si>
  <si>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</si>
  <si>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</si>
  <si>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</si>
  <si>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</si>
  <si>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TC-10-11</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</si>
  <si>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</si>
  <si>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</si>
  <si>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</si>
  <si>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</si>
  <si>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</si>
  <si>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</si>
  <si>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</si>
  <si>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</si>
  <si>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</si>
  <si>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</si>
  <si>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</si>
  <si>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</si>
  <si>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</si>
  <si>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</si>
  <si>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</si>
  <si>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</si>
  <si>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</si>
  <si>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</si>
  <si>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</si>
  <si>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</si>
  <si>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</si>
  <si>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</si>
  <si>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</si>
  <si>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</si>
  <si>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</si>
  <si>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</si>
  <si>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</si>
  <si>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</si>
  <si>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</si>
  <si>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</si>
  <si>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</si>
  <si>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</si>
  <si>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</si>
  <si>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</si>
  <si>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</si>
  <si>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</si>
  <si>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</si>
  <si>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</si>
  <si>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</si>
  <si>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</si>
  <si>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</si>
  <si>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</si>
  <si>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</si>
  <si>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</si>
  <si>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</si>
  <si>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</si>
  <si>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</si>
  <si>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</si>
  <si>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</si>
  <si>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</si>
  <si>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</si>
  <si>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</si>
  <si>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</si>
  <si>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</si>
  <si>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</si>
  <si>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</si>
  <si>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</si>
  <si>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</si>
  <si>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</si>
  <si>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</si>
  <si>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</si>
  <si>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</si>
  <si>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</si>
  <si>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</si>
  <si>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</si>
  <si>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</si>
  <si>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</si>
  <si>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</si>
  <si>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</si>
  <si>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</si>
  <si>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</si>
  <si>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</si>
  <si>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</si>
  <si>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</si>
  <si>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</si>
  <si>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</si>
  <si>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</si>
  <si>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</si>
  <si>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</si>
  <si>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</si>
  <si>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</si>
  <si>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</si>
  <si>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</si>
  <si>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</si>
  <si>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</si>
  <si>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</si>
  <si>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</si>
  <si>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</si>
  <si>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</si>
  <si>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</si>
  <si>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</si>
  <si>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</si>
  <si>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</si>
  <si>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</si>
  <si>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</si>
  <si>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</si>
  <si>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</si>
  <si>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</si>
  <si>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</si>
  <si>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</si>
  <si>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</si>
  <si>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</si>
  <si>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</si>
  <si>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</si>
  <si>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</si>
  <si>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</si>
  <si>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</si>
  <si>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</si>
  <si>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</si>
  <si>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</si>
  <si>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</si>
  <si>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</si>
  <si>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</si>
  <si>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</si>
  <si>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</si>
  <si>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</si>
  <si>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</si>
  <si>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</si>
  <si>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</si>
  <si>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</si>
  <si>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</si>
  <si>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</si>
  <si>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</si>
  <si>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</si>
  <si>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</si>
  <si>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</si>
  <si>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7 cột đầu (nền xanh đậm) là các trường bắt buộc của C6-D2. 3 cột cam là theo dõi nội bộ. Mỗi TC FAIL viết 1 dòng; Bug ID dạng BUG-N5-001; "Kết quả thực tế" và "Kết quả mong đợi" chép đúng Actual/Expected trong Test Case. Dòng 3 chỉ là ví dụ, bỏ qua khi đếm.</t>
  </si>
  <si>
    <t>Bug ID</t>
  </si>
  <si>
    <t>Related TC</t>
  </si>
  <si>
    <t>Mô tả lỗi</t>
  </si>
  <si>
    <t>Bước tái hiện</t>
  </si>
  <si>
    <t>Kết quả thực tế</t>
  </si>
  <si>
    <t>Kết quả mong đợi</t>
  </si>
  <si>
    <t>Mức độ nghiêm trọng</t>
  </si>
  <si>
    <t>Người sửa</t>
  </si>
  <si>
    <t>Trạng thái</t>
  </si>
  <si>
    <t>Kết quả retest</t>
  </si>
  <si>
    <t>VÍ DỤ (xóa dòng này)</t>
  </si>
  <si>
    <t>Hệ thống cho phép tạo order chứa món đã hết nguyên liệu mà không báo lỗi</t>
  </si>
  <si>
    <t>1. Đăng nhập tài khoản Phục vụ.
2. Chọn bàn đang TRONG.
3. Chọn món TAM_HET, số lượng 1.
4. Bấm "Gửi bếp".</t>
  </si>
  <si>
    <t>Order được tạo thành công (HTTP 201)</t>
  </si>
  <si>
    <t>HTTP 409, maLoi=MON_TAM_HET, thông báo "Món … đã hết nguyên liệu"; không tạo đơn</t>
  </si>
  <si>
    <t>High</t>
  </si>
  <si>
    <t>Mới</t>
  </si>
  <si>
    <t>TỔNG HỢP KẾT QUẢ KIỂM THỬ</t>
  </si>
  <si>
    <t>Toàn bộ số liệu là công thức, tự cập nhật từ sheet Test Case và Bug Report. Chỉ các ô nền vàng ở mục 3 cần điền tay (K4).</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</si>
  <si>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</si>
  <si>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</si>
  <si>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</si>
  <si>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</si>
  <si>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</si>
  <si>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</si>
  <si>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</si>
  <si>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</si>
  <si>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</si>
  <si>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</si>
  <si>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</si>
  <si>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</si>
  <si>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</si>
  <si>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</si>
  <si>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</si>
  <si>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</si>
  <si>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</si>
  <si>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</si>
  <si>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</si>
  <si>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</si>
  <si>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</si>
  <si>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</si>
  <si>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</si>
  <si>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Các điểm contract/tài liệu chưa rõ. Test case đang dùng cột "Giả định"; khi có câu trả lời, điền cột nền vàng và sửa Expected ở các TC liên quan.</t>
  </si>
  <si>
    <t>Mã</t>
  </si>
  <si>
    <t>Câu hỏi / điểm chưa rõ</t>
  </si>
  <si>
    <t>Giả định đang dùng trong test case</t>
  </si>
  <si>
    <t>Hỏi ai</t>
  </si>
  <si>
    <t>Ảnh hưởng TC</t>
  </si>
  <si>
    <t>Câu trả lời (điền)</t>
  </si>
  <si>
    <t>X01</t>
  </si>
  <si>
    <t>Bàn đang DANG_PHUC_VU đã có đơn: POST /orders có trả BAN_DA_CO_DON (409) không, và gọi thêm đi qua UC04?</t>
  </si>
  <si>
    <t>Trả BAN_DA_CO_DON 409 (đề xuất ở api-contract §4 điểm 1)</t>
  </si>
  <si>
    <t>Chưa hỏi</t>
  </si>
  <si>
    <t>X02</t>
  </si>
  <si>
    <t>Sai lần thứ 5 trả TAI_KHOAN_BI_KHOA (423) ngay hay lần thứ 6 mới 423? Khóa bao lâu, có tự mở không? Đăng nhập đúng có reset so_lan_sai không?</t>
  </si>
  <si>
    <t>Lần sai thứ 5 đã trả 423; khóa không tự mở; đăng nhập đúng reset bộ đếm về 0</t>
  </si>
  <si>
    <t>TC-21-06, 07</t>
  </si>
  <si>
    <t>X03</t>
  </si>
  <si>
    <t>Bỏ trống username hoặc mật khẩu có tính vào so_lan_sai không?</t>
  </si>
  <si>
    <t>Không tính</t>
  </si>
  <si>
    <t>X04</t>
  </si>
  <si>
    <t>Seed có blocked01 (BI_KHOA) nhưng không có tài khoản VO_HIEU (enum có giá trị này).</t>
  </si>
  <si>
    <t>Tạo vohieu01 bằng SQL (sheet "SQL hỗ trợ"). Nên nhờ An thêm vào seed.</t>
  </si>
  <si>
    <t>An</t>
  </si>
  <si>
    <t>TC-21-08, 09</t>
  </si>
  <si>
    <t>X05</t>
  </si>
  <si>
    <t>UC01, UC04</t>
  </si>
  <si>
    <t>Seed đã có: 2+ món CON_HANG, mon-03 Bạc xỉu TAM_HET, dh-001 có món DANG_LAM và CHO_PHA_CHE, dh-002 có món DA_XONG. Món DA_XONG nằm ở đơn khác dh-001.</t>
  </si>
  <si>
    <t>Đã điều chỉnh các TC UC04 theo seed.</t>
  </si>
  <si>
    <t>An, Tuấn</t>
  </si>
  <si>
    <t>TC-01, TC-04</t>
  </si>
  <si>
    <t>Đã chốt</t>
  </si>
  <si>
    <t>X06</t>
  </si>
  <si>
    <t>Cách giả lập "bếp không phản hồi quá 5 giây" (chỉnh KDS_TIMEOUT_MS, stub, hay cờ riêng)? isSynced=false thì HTTP là mấy?</t>
  </si>
  <si>
    <t>Có cách giả lập; HTTP 201</t>
  </si>
  <si>
    <t>TC-01-10, TC-10-09</t>
  </si>
  <si>
    <t>X07</t>
  </si>
  <si>
    <t>Cách ép lỗi giữa transaction để kiểm tra rollback?</t>
  </si>
  <si>
    <t>Có cách ép lỗi ở thao tác ghi thứ 2 hoặc 3; API trả 500 LOI_HE_THONG</t>
  </si>
  <si>
    <t>X08</t>
  </si>
  <si>
    <t>soLuong không phải số nguyên (1.5, "abc") hoặc thiếu banId: trả DU_LIEU_KHONG_HOP_LE hay SO_LUONG_KHONG_HOP_LE?</t>
  </si>
  <si>
    <t>Chưa có TC; sẽ thêm khi có câu trả lời</t>
  </si>
  <si>
    <t>(chưa có)</t>
  </si>
  <si>
    <t>X09</t>
  </si>
  <si>
    <t>Sửa/hủy món đã DA_HUY trả mã lỗi gì? Hủy hết món thì đơn thành gì? Gọi thêm vào đơn HOAN_THANH có được không?</t>
  </si>
  <si>
    <t>X10</t>
  </si>
  <si>
    <t>Có cho thanh toán khi món chưa DA_XONG (ví dụ dh-001)? QR thì tienThoi là 0 hay null? TIEN_MAT thiếu tienKhachDua trả mã lỗi gì?</t>
  </si>
  <si>
    <t>Cho phép thanh toán; mã lỗi DU_LIEU_KHONG_HOP_LE; tienThoi QR chưa ràng buộc</t>
  </si>
  <si>
    <t>TC-10-04, 06</t>
  </si>
  <si>
    <t>X11</t>
  </si>
  <si>
    <t>CHU_QUAN có được gọi các API gọi món và thanh toán không?</t>
  </si>
  <si>
    <t>TC-21-11 dùng PHUC_VU → /payments nên không phụ thuộc</t>
  </si>
  <si>
    <t>Tuấn, Hậu</t>
  </si>
  <si>
    <t>X12</t>
  </si>
  <si>
    <t>Chưa có UC Spec (UC21...), SD Tạo order, CD_CapNhat, SD_ThanhToan, CLASSDIAGRAM. Cột "Truy vết" hiện lấy từ api-contract và Bảng phân công.</t>
  </si>
  <si>
    <t>Truy vết tạm theo api-contract và Bảng phân công</t>
  </si>
  <si>
    <t>Sơn, Hậu</t>
  </si>
  <si>
    <t>Cột Truy vết</t>
  </si>
  <si>
    <t>X13</t>
  </si>
  <si>
    <t>Cơ chế token: báo cáo ghi JWT. Cách gửi trong Postman (header Authorization: Bearer ...)?</t>
  </si>
  <si>
    <t>Authorization: Bearer &lt;token&gt;</t>
  </si>
  <si>
    <t>TC-21-10, 11</t>
  </si>
  <si>
    <t>X14</t>
  </si>
  <si>
    <t>Tên màn hình, tên nút trên giao diện (Gửi bếp, Gọi thêm, Xác nhận...) chưa chắc đúng.</t>
  </si>
  <si>
    <t>Dùng tên theo mô tả; sửa khi chạy thực tế</t>
  </si>
  <si>
    <t>Bước giao diện của TC</t>
  </si>
  <si>
    <t>X15</t>
  </si>
  <si>
    <t>Bàn DAT_TRUOC (ban-07, ban-08) có được gọi món không? Contract chỉ nói chặn CAN_DON.</t>
  </si>
  <si>
    <t>X16</t>
  </si>
  <si>
    <t>UC10, UC08</t>
  </si>
  <si>
    <t>Seed dh-004: bàn ban-06 CAN_DON nhưng đơn vẫn DANG_PHUC_VU; tong_tien 70.000 gồm cả món DA_HUY 30.000 (báo cáo mục 7 nói món hủy phải bị loại, tức 40.000). Cố ý hay lỗi seed?</t>
  </si>
  <si>
    <t>Không dùng dh-004 cho TC thanh toán chuẩn</t>
  </si>
  <si>
    <t>TC-10-09; UC08</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</si>
  <si>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</si>
  <si>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</si>
  <si>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</si>
  <si>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</si>
  <si>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</si>
  <si>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success: false, "data": null, "maLoi": "SAI_THONG_TIN", "message": "Sai tên đăng nhập hoặc mật khẩu" } ở lại trang đăng nhập</t>
  </si>
  <si>
    <t>KQ-test\TC-21-03.png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</si>
</sst>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4"/>
      <color rgb="FF1F3864"/>
      <name val="Arial"/>
      <charset val="1"/>
    </font>
    <font>
      <i/>
      <sz val="9"/>
      <color rgb="FF7F7F7F"/>
      <name val="Arial"/>
      <charset val="1"/>
    </font>
    <font>
      <b/>
      <sz val="11"/>
      <color rgb="FFFFFFFF"/>
      <name val="Arial"/>
      <charset val="1"/>
    </font>
    <font>
      <b/>
      <sz val="10"/>
      <color rgb="FF000000"/>
      <name val="Arial"/>
      <charset val="1"/>
    </font>
    <font>
      <sz val="10"/>
      <color rgb="FF000000"/>
      <name val="Arial"/>
      <charset val="1"/>
    </font>
    <font>
      <b/>
      <sz val="10"/>
      <color rgb="FFFFFFFF"/>
      <name val="Arial"/>
      <charset val="1"/>
    </font>
    <font>
      <i/>
      <sz val="10"/>
      <color rgb="FF7F7F7F"/>
      <name val="Arial"/>
      <charset val="1"/>
    </font>
    <font>
      <b/>
      <sz val="11"/>
      <color rgb="FF1F3864"/>
      <name val="Arial"/>
      <charset val="1"/>
    </font>
    <font>
      <u/>
      <sz val="11"/>
      <color theme="10"/>
      <name val="Calibri"/>
      <family val="2"/>
      <charset val="1"/>
    </font>
  </fonts>
  <fills count="6">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s>
  <cellStyleXfs count="2">
    <xf numFmtId="0" fontId="0" fillId="0" borderId="0"/>
    <xf numFmtId="0" fontId="9" fillId="0" borderId="0" applyNumberFormat="0" applyFill="0" applyBorder="0" applyAlignment="0" applyProtection="0"/>
  </cellStyleXfs>
  <cellXfs count="25">
    <xf numFmtId="0" fontId="0" fillId="0" borderId="0" xfId="0"/>
    <xf numFmtId="0" fontId="5" fillId="4" borderId="1" xfId="0" applyFont="1" applyFill="1" applyBorder="1" applyAlignment="1">
      <alignment vertical="top" wrapText="1"/>
    </xf>
    <xf numFmtId="0" fontId="5" fillId="0" borderId="1" xfId="0" applyFont="1" applyBorder="1" applyAlignment="1">
      <alignment vertical="top" wrapText="1"/>
    </xf>
    <xf numFmtId="0" fontId="1" fillId="0" borderId="0" xfId="0" applyFont="1"/>
    <xf numFmtId="0" fontId="2" fillId="0" borderId="0" xfId="0" applyFont="1"/>
    <xf numFmtId="0" fontId="3" fillId="2" borderId="0" xfId="0" applyFont="1" applyFill="1"/>
    <xf numFmtId="0" fontId="0" fillId="2" borderId="0" xfId="0" applyFill="1"/>
    <xf numFmtId="0" fontId="4" fillId="3" borderId="1" xfId="0" applyFont="1" applyFill="1" applyBorder="1" applyAlignment="1">
      <alignment vertical="top" wrapText="1"/>
    </xf>
    <xf numFmtId="0" fontId="6" fillId="2" borderId="1" xfId="0" applyFont="1" applyFill="1" applyBorder="1" applyAlignment="1">
      <alignment horizontal="center" vertical="center"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4" fillId="0" borderId="1" xfId="0" applyFont="1" applyBorder="1" applyAlignment="1">
      <alignment vertical="top" wrapText="1"/>
    </xf>
    <xf numFmtId="0" fontId="6" fillId="5" borderId="1" xfId="0" applyFont="1" applyFill="1" applyBorder="1" applyAlignment="1">
      <alignment horizontal="center" vertical="center" wrapText="1"/>
    </xf>
    <xf numFmtId="0" fontId="7" fillId="0" borderId="1" xfId="0" applyFont="1" applyBorder="1" applyAlignment="1">
      <alignment horizontal="center" vertical="top" wrapText="1"/>
    </xf>
    <xf numFmtId="0" fontId="7" fillId="0" borderId="1" xfId="0" applyFont="1" applyBorder="1" applyAlignment="1">
      <alignment vertical="top" wrapText="1"/>
    </xf>
    <xf numFmtId="164" fontId="5" fillId="0" borderId="1" xfId="0" applyNumberFormat="1" applyFont="1" applyBorder="1" applyAlignment="1">
      <alignment horizontal="center" vertical="top" wrapText="1"/>
    </xf>
    <xf numFmtId="0" fontId="4" fillId="3" borderId="1" xfId="0" applyFont="1" applyFill="1" applyBorder="1" applyAlignment="1">
      <alignment horizontal="center" vertical="top" wrapText="1"/>
    </xf>
    <xf numFmtId="0" fontId="5" fillId="3" borderId="1" xfId="0" applyFont="1" applyFill="1" applyBorder="1" applyAlignment="1">
      <alignment vertical="top" wrapText="1"/>
    </xf>
    <xf numFmtId="164" fontId="4" fillId="3" borderId="1" xfId="0" applyNumberFormat="1" applyFont="1" applyFill="1" applyBorder="1" applyAlignment="1">
      <alignment horizontal="center" vertical="top" wrapText="1"/>
    </xf>
    <xf numFmtId="0" fontId="8" fillId="0" borderId="0" xfId="0" applyFont="1"/>
    <xf numFmtId="0" fontId="5" fillId="4" borderId="1" xfId="0" applyFont="1" applyFill="1" applyBorder="1" applyAlignment="1">
      <alignment horizontal="center" vertical="top" wrapText="1"/>
    </xf>
    <xf numFmtId="0" fontId="9" fillId="0" borderId="1" xfId="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6" fillId="2" borderId="2" xfId="0" applyFont="1" applyFill="1" applyBorder="1" applyAlignment="1">
      <alignment horizontal="center" vertical="center" wrapText="1"/>
    </xf>
  </cellXfs>
  <cellStyles count="2">
    <cellStyle name="Hyperlink" xfId="1" builtinId="8"/>
    <cellStyle name="Normal" xfId="0" builtinId="0"/>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KQ-test\TC-21-03.png" TargetMode="External"/><Relationship Id="rId2" Type="http://schemas.openxmlformats.org/officeDocument/2006/relationships/hyperlink" Target="KQ-test\TC-21-02.pdf" TargetMode="External"/><Relationship Id="rId1" Type="http://schemas.openxmlformats.org/officeDocument/2006/relationships/hyperlink" Target="KQ-test\TC-21-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6"/>
  <sheetViews>
    <sheetView showGridLines="0" zoomScale="90" zoomScaleNormal="90" workbookViewId="0"/>
  </sheetViews>
  <sheetFormatPr defaultColWidth="8.7109375" defaultRowHeight="15" x14ac:dyDescent="0.25"/>
  <cols>
    <col min="1" max="1" width="26" customWidth="1"/>
    <col min="2" max="2" width="36" customWidth="1"/>
    <col min="3" max="3" width="16" customWidth="1"/>
    <col min="4" max="5" width="14" customWidth="1"/>
    <col min="6" max="6" width="26" customWidth="1"/>
    <col min="7" max="7" width="12" customWidth="1"/>
  </cols>
  <sheetData>
    <row r="1" spans="1:7" ht="18" x14ac:dyDescent="0.25">
      <c r="A1" s="3" t="s">
        <v>0</v>
      </c>
    </row>
    <row r="2" spans="1:7" x14ac:dyDescent="0.25">
      <c r="A2" s="4" t="s">
        <v>1</v>
      </c>
    </row>
    <row r="4" spans="1:7" x14ac:dyDescent="0.25">
      <c r="A4" s="5" t="s">
        <v>2</v>
      </c>
      <c r="B4" s="6"/>
      <c r="C4" s="6"/>
      <c r="D4" s="6"/>
      <c r="E4" s="6"/>
      <c r="F4" s="6"/>
      <c r="G4" s="6"/>
    </row>
    <row r="5" spans="1:7" ht="16.5" customHeight="1" x14ac:dyDescent="0.25">
      <c r="A5" s="7" t="s">
        <v>3</v>
      </c>
      <c r="B5" s="22" t="s">
        <v>4</v>
      </c>
      <c r="C5" s="22"/>
      <c r="D5" s="22"/>
      <c r="E5" s="22"/>
      <c r="F5" s="22"/>
      <c r="G5" s="22"/>
    </row>
    <row r="6" spans="1:7" ht="16.5" customHeight="1" x14ac:dyDescent="0.25">
      <c r="A6" s="7" t="s">
        <v>5</v>
      </c>
      <c r="B6" s="22" t="s">
        <v>6</v>
      </c>
      <c r="C6" s="22"/>
      <c r="D6" s="22"/>
      <c r="E6" s="22"/>
      <c r="F6" s="22"/>
      <c r="G6" s="22"/>
    </row>
    <row r="7" spans="1:7" ht="16.5" customHeight="1" x14ac:dyDescent="0.25">
      <c r="A7" s="7" t="s">
        <v>7</v>
      </c>
      <c r="B7" s="22" t="s">
        <v>8</v>
      </c>
      <c r="C7" s="22"/>
      <c r="D7" s="22"/>
      <c r="E7" s="22"/>
      <c r="F7" s="22"/>
      <c r="G7" s="22"/>
    </row>
    <row r="8" spans="1:7" ht="43.5" customHeight="1" x14ac:dyDescent="0.25">
      <c r="A8" s="7" t="s">
        <v>9</v>
      </c>
      <c r="B8" s="22" t="s">
        <v>10</v>
      </c>
      <c r="C8" s="22"/>
      <c r="D8" s="22"/>
      <c r="E8" s="22"/>
      <c r="F8" s="22"/>
      <c r="G8" s="22"/>
    </row>
    <row r="9" spans="1:7" ht="30" customHeight="1" x14ac:dyDescent="0.25">
      <c r="A9" s="7" t="s">
        <v>11</v>
      </c>
      <c r="B9" s="22" t="s">
        <v>12</v>
      </c>
      <c r="C9" s="22"/>
      <c r="D9" s="22"/>
      <c r="E9" s="22"/>
      <c r="F9" s="22"/>
      <c r="G9" s="22"/>
    </row>
    <row r="11" spans="1:7" x14ac:dyDescent="0.25">
      <c r="A11" s="5" t="s">
        <v>13</v>
      </c>
      <c r="B11" s="6"/>
      <c r="C11" s="6"/>
      <c r="D11" s="6"/>
      <c r="E11" s="6"/>
      <c r="F11" s="6"/>
      <c r="G11" s="6"/>
    </row>
    <row r="12" spans="1:7" x14ac:dyDescent="0.25">
      <c r="A12" s="8" t="s">
        <v>14</v>
      </c>
      <c r="B12" s="8" t="s">
        <v>15</v>
      </c>
      <c r="C12" s="8" t="s">
        <v>16</v>
      </c>
      <c r="D12" s="8" t="s">
        <v>17</v>
      </c>
      <c r="E12" s="8" t="s">
        <v>18</v>
      </c>
      <c r="F12" s="8" t="s">
        <v>19</v>
      </c>
      <c r="G12" s="8" t="s">
        <v>20</v>
      </c>
    </row>
    <row r="13" spans="1:7" ht="16.5" customHeight="1" x14ac:dyDescent="0.25">
      <c r="A13" s="9" t="s">
        <v>21</v>
      </c>
      <c r="B13" s="2" t="s">
        <v>22</v>
      </c>
      <c r="C13" s="10" t="s">
        <v>23</v>
      </c>
      <c r="D13" s="10" t="s">
        <v>24</v>
      </c>
      <c r="E13" s="10" t="s">
        <v>24</v>
      </c>
      <c r="F13" s="10" t="s">
        <v>25</v>
      </c>
      <c r="G13" s="10">
        <f>COUNTIF('Test Case'!$B:$B,A13)</f>
        <v>11</v>
      </c>
    </row>
    <row r="14" spans="1:7" ht="16.5" customHeight="1" x14ac:dyDescent="0.25">
      <c r="A14" s="9" t="s">
        <v>26</v>
      </c>
      <c r="B14" s="2" t="s">
        <v>27</v>
      </c>
      <c r="C14" s="10" t="s">
        <v>28</v>
      </c>
      <c r="D14" s="10" t="s">
        <v>29</v>
      </c>
      <c r="E14" s="10" t="s">
        <v>24</v>
      </c>
      <c r="F14" s="10" t="s">
        <v>25</v>
      </c>
      <c r="G14" s="10">
        <f>COUNTIF('Test Case'!$B:$B,A14)</f>
        <v>11</v>
      </c>
    </row>
    <row r="15" spans="1:7" ht="30" customHeight="1" x14ac:dyDescent="0.25">
      <c r="A15" s="9" t="s">
        <v>30</v>
      </c>
      <c r="B15" s="2" t="s">
        <v>31</v>
      </c>
      <c r="C15" s="10" t="s">
        <v>28</v>
      </c>
      <c r="D15" s="10" t="s">
        <v>29</v>
      </c>
      <c r="E15" s="10" t="s">
        <v>24</v>
      </c>
      <c r="F15" s="10" t="s">
        <v>25</v>
      </c>
      <c r="G15" s="10">
        <f>COUNTIF('Test Case'!$B:$B,A15)</f>
        <v>13</v>
      </c>
    </row>
    <row r="16" spans="1:7" ht="30" customHeight="1" x14ac:dyDescent="0.25">
      <c r="A16" s="9" t="s">
        <v>32</v>
      </c>
      <c r="B16" s="2" t="s">
        <v>33</v>
      </c>
      <c r="C16" s="10" t="s">
        <v>34</v>
      </c>
      <c r="D16" s="10" t="s">
        <v>29</v>
      </c>
      <c r="E16" s="10" t="s">
        <v>24</v>
      </c>
      <c r="F16" s="10" t="s">
        <v>25</v>
      </c>
      <c r="G16" s="10">
        <f>COUNTIF('Test Case'!$B:$B,A16)</f>
        <v>11</v>
      </c>
    </row>
    <row r="17" spans="1:7" ht="16.5" customHeight="1" x14ac:dyDescent="0.25">
      <c r="A17" s="9" t="s">
        <v>35</v>
      </c>
      <c r="B17" s="2" t="s">
        <v>36</v>
      </c>
      <c r="C17" s="10" t="s">
        <v>37</v>
      </c>
      <c r="D17" s="10" t="s">
        <v>38</v>
      </c>
      <c r="E17" s="10" t="s">
        <v>38</v>
      </c>
      <c r="F17" s="10" t="s">
        <v>39</v>
      </c>
      <c r="G17" s="10">
        <f>COUNTIF('Test Case'!$B:$B,A17)</f>
        <v>5</v>
      </c>
    </row>
    <row r="18" spans="1:7" ht="16.5" customHeight="1" x14ac:dyDescent="0.25">
      <c r="A18" s="9" t="s">
        <v>40</v>
      </c>
      <c r="B18" s="2" t="s">
        <v>41</v>
      </c>
      <c r="C18" s="10" t="s">
        <v>37</v>
      </c>
      <c r="D18" s="10" t="s">
        <v>38</v>
      </c>
      <c r="E18" s="10" t="s">
        <v>38</v>
      </c>
      <c r="F18" s="10" t="s">
        <v>39</v>
      </c>
      <c r="G18" s="10">
        <f>COUNTIF('Test Case'!$B:$B,A18)</f>
        <v>6</v>
      </c>
    </row>
    <row r="19" spans="1:7" ht="16.5" customHeight="1" x14ac:dyDescent="0.25">
      <c r="A19" s="9" t="s">
        <v>42</v>
      </c>
      <c r="B19" s="2" t="s">
        <v>43</v>
      </c>
      <c r="C19" s="10" t="s">
        <v>37</v>
      </c>
      <c r="D19" s="10" t="s">
        <v>38</v>
      </c>
      <c r="E19" s="10" t="s">
        <v>38</v>
      </c>
      <c r="F19" s="10" t="s">
        <v>39</v>
      </c>
      <c r="G19" s="10">
        <f>COUNTIF('Test Case'!$B:$B,A19)</f>
        <v>5</v>
      </c>
    </row>
    <row r="20" spans="1:7" ht="16.5" customHeight="1" x14ac:dyDescent="0.25">
      <c r="A20" s="9" t="s">
        <v>44</v>
      </c>
      <c r="B20" s="2" t="s">
        <v>45</v>
      </c>
      <c r="C20" s="10" t="s">
        <v>34</v>
      </c>
      <c r="D20" s="10" t="s">
        <v>29</v>
      </c>
      <c r="E20" s="10" t="s">
        <v>24</v>
      </c>
      <c r="F20" s="10" t="s">
        <v>39</v>
      </c>
      <c r="G20" s="10">
        <f>COUNTIF('Test Case'!$B:$B,A20)</f>
        <v>6</v>
      </c>
    </row>
    <row r="22" spans="1:7" x14ac:dyDescent="0.25">
      <c r="A22" s="5" t="s">
        <v>46</v>
      </c>
      <c r="B22" s="6"/>
      <c r="C22" s="6"/>
      <c r="D22" s="6"/>
      <c r="E22" s="6"/>
      <c r="F22" s="6"/>
      <c r="G22" s="6"/>
    </row>
    <row r="23" spans="1:7" ht="16.5" customHeight="1" x14ac:dyDescent="0.25">
      <c r="A23" s="7" t="s">
        <v>47</v>
      </c>
      <c r="B23" s="23" t="s">
        <v>48</v>
      </c>
      <c r="C23" s="23"/>
      <c r="D23" s="23"/>
      <c r="E23" s="23"/>
      <c r="F23" s="23"/>
      <c r="G23" s="23"/>
    </row>
    <row r="24" spans="1:7" ht="16.5" customHeight="1" x14ac:dyDescent="0.25">
      <c r="A24" s="7" t="s">
        <v>49</v>
      </c>
      <c r="B24" s="23" t="s">
        <v>50</v>
      </c>
      <c r="C24" s="23"/>
      <c r="D24" s="23"/>
      <c r="E24" s="23"/>
      <c r="F24" s="23"/>
      <c r="G24" s="23"/>
    </row>
    <row r="25" spans="1:7" ht="30" customHeight="1" x14ac:dyDescent="0.25">
      <c r="A25" s="7" t="s">
        <v>51</v>
      </c>
      <c r="B25" s="22" t="s">
        <v>52</v>
      </c>
      <c r="C25" s="22"/>
      <c r="D25" s="22"/>
      <c r="E25" s="22"/>
      <c r="F25" s="22"/>
      <c r="G25" s="22"/>
    </row>
    <row r="26" spans="1:7" ht="16.5" customHeight="1" x14ac:dyDescent="0.25">
      <c r="A26" s="7" t="s">
        <v>53</v>
      </c>
      <c r="B26" s="22" t="s">
        <v>54</v>
      </c>
      <c r="C26" s="22"/>
      <c r="D26" s="22"/>
      <c r="E26" s="22"/>
      <c r="F26" s="22"/>
      <c r="G26" s="22"/>
    </row>
    <row r="27" spans="1:7" ht="16.5" customHeight="1" x14ac:dyDescent="0.25">
      <c r="A27" s="7" t="s">
        <v>55</v>
      </c>
      <c r="B27" s="23" t="s">
        <v>56</v>
      </c>
      <c r="C27" s="23"/>
      <c r="D27" s="23"/>
      <c r="E27" s="23"/>
      <c r="F27" s="23"/>
      <c r="G27" s="23"/>
    </row>
    <row r="28" spans="1:7" ht="16.5" customHeight="1" x14ac:dyDescent="0.25">
      <c r="A28" s="7" t="s">
        <v>57</v>
      </c>
      <c r="B28" s="23" t="s">
        <v>58</v>
      </c>
      <c r="C28" s="23"/>
      <c r="D28" s="23"/>
      <c r="E28" s="23"/>
      <c r="F28" s="23"/>
      <c r="G28" s="23"/>
    </row>
    <row r="30" spans="1:7" x14ac:dyDescent="0.25">
      <c r="A30" s="5" t="s">
        <v>59</v>
      </c>
      <c r="B30" s="6"/>
      <c r="C30" s="6"/>
      <c r="D30" s="6"/>
      <c r="E30" s="6"/>
      <c r="F30" s="6"/>
      <c r="G30" s="6"/>
    </row>
    <row r="31" spans="1:7" ht="15" customHeight="1" x14ac:dyDescent="0.25">
      <c r="A31" s="8" t="s">
        <v>60</v>
      </c>
      <c r="B31" s="8" t="s">
        <v>61</v>
      </c>
      <c r="C31" s="24" t="s">
        <v>62</v>
      </c>
      <c r="D31" s="24"/>
      <c r="E31" s="24"/>
      <c r="F31" s="24"/>
      <c r="G31" s="24"/>
    </row>
    <row r="32" spans="1:7" ht="15" customHeight="1" x14ac:dyDescent="0.25">
      <c r="A32" s="7" t="s">
        <v>63</v>
      </c>
      <c r="B32" s="2" t="s">
        <v>64</v>
      </c>
      <c r="C32" s="22" t="s">
        <v>65</v>
      </c>
      <c r="D32" s="22"/>
      <c r="E32" s="22"/>
      <c r="F32" s="22"/>
      <c r="G32" s="22"/>
    </row>
    <row r="33" spans="1:7" ht="15" customHeight="1" x14ac:dyDescent="0.25">
      <c r="A33" s="7" t="s">
        <v>66</v>
      </c>
      <c r="B33" s="2" t="s">
        <v>67</v>
      </c>
      <c r="C33" s="22" t="s">
        <v>68</v>
      </c>
      <c r="D33" s="22"/>
      <c r="E33" s="22"/>
      <c r="F33" s="22"/>
      <c r="G33" s="22"/>
    </row>
    <row r="34" spans="1:7" ht="15" customHeight="1" x14ac:dyDescent="0.25">
      <c r="A34" s="7" t="s">
        <v>69</v>
      </c>
      <c r="B34" s="2" t="s">
        <v>67</v>
      </c>
      <c r="C34" s="22" t="s">
        <v>70</v>
      </c>
      <c r="D34" s="22"/>
      <c r="E34" s="22"/>
      <c r="F34" s="22"/>
      <c r="G34" s="22"/>
    </row>
    <row r="35" spans="1:7" ht="15" customHeight="1" x14ac:dyDescent="0.25">
      <c r="A35" s="7" t="s">
        <v>71</v>
      </c>
      <c r="B35" s="2" t="s">
        <v>72</v>
      </c>
      <c r="C35" s="22" t="s">
        <v>73</v>
      </c>
      <c r="D35" s="22"/>
      <c r="E35" s="22"/>
      <c r="F35" s="22"/>
      <c r="G35" s="22"/>
    </row>
    <row r="36" spans="1:7" ht="15" customHeight="1" x14ac:dyDescent="0.25">
      <c r="A36" s="7" t="s">
        <v>74</v>
      </c>
      <c r="B36" s="2" t="s">
        <v>75</v>
      </c>
      <c r="C36" s="22" t="s">
        <v>76</v>
      </c>
      <c r="D36" s="22"/>
      <c r="E36" s="22"/>
      <c r="F36" s="22"/>
      <c r="G36" s="22"/>
    </row>
    <row r="38" spans="1:7" x14ac:dyDescent="0.25">
      <c r="A38" s="5" t="s">
        <v>77</v>
      </c>
      <c r="B38" s="6"/>
      <c r="C38" s="6"/>
      <c r="D38" s="6"/>
      <c r="E38" s="6"/>
      <c r="F38" s="6"/>
      <c r="G38" s="6"/>
    </row>
    <row r="39" spans="1:7" ht="43.5" customHeight="1" x14ac:dyDescent="0.25">
      <c r="A39" s="7" t="s">
        <v>78</v>
      </c>
      <c r="B39" s="22" t="s">
        <v>79</v>
      </c>
      <c r="C39" s="22"/>
      <c r="D39" s="22"/>
      <c r="E39" s="22"/>
      <c r="F39" s="22"/>
      <c r="G39" s="22"/>
    </row>
    <row r="40" spans="1:7" ht="43.5" customHeight="1" x14ac:dyDescent="0.25">
      <c r="A40" s="7" t="s">
        <v>80</v>
      </c>
      <c r="B40" s="22" t="s">
        <v>81</v>
      </c>
      <c r="C40" s="22"/>
      <c r="D40" s="22"/>
      <c r="E40" s="22"/>
      <c r="F40" s="22"/>
      <c r="G40" s="22"/>
    </row>
    <row r="41" spans="1:7" ht="16.5" customHeight="1" x14ac:dyDescent="0.25">
      <c r="A41" s="7" t="s">
        <v>82</v>
      </c>
      <c r="B41" s="22" t="s">
        <v>83</v>
      </c>
      <c r="C41" s="22"/>
      <c r="D41" s="22"/>
      <c r="E41" s="22"/>
      <c r="F41" s="22"/>
      <c r="G41" s="22"/>
    </row>
    <row r="42" spans="1:7" ht="43.5" customHeight="1" x14ac:dyDescent="0.25">
      <c r="A42" s="7" t="s">
        <v>84</v>
      </c>
      <c r="B42" s="22" t="s">
        <v>85</v>
      </c>
      <c r="C42" s="22"/>
      <c r="D42" s="22"/>
      <c r="E42" s="22"/>
      <c r="F42" s="22"/>
      <c r="G42" s="22"/>
    </row>
    <row r="44" spans="1:7" x14ac:dyDescent="0.25">
      <c r="A44" s="5" t="s">
        <v>86</v>
      </c>
      <c r="B44" s="6"/>
      <c r="C44" s="6"/>
      <c r="D44" s="6"/>
      <c r="E44" s="6"/>
      <c r="F44" s="6"/>
      <c r="G44" s="6"/>
    </row>
    <row r="45" spans="1:7" ht="30" customHeight="1" x14ac:dyDescent="0.25">
      <c r="A45" s="7" t="s">
        <v>87</v>
      </c>
      <c r="B45" s="22" t="s">
        <v>88</v>
      </c>
      <c r="C45" s="22"/>
      <c r="D45" s="22"/>
      <c r="E45" s="22"/>
      <c r="F45" s="22"/>
      <c r="G45" s="22"/>
    </row>
    <row r="46" spans="1:7" ht="30" customHeight="1" x14ac:dyDescent="0.25">
      <c r="A46" s="7" t="s">
        <v>89</v>
      </c>
      <c r="B46" s="22" t="s">
        <v>90</v>
      </c>
      <c r="C46" s="22"/>
      <c r="D46" s="22"/>
      <c r="E46" s="22"/>
      <c r="F46" s="22"/>
      <c r="G46" s="22"/>
    </row>
    <row r="47" spans="1:7" ht="43.5" customHeight="1" x14ac:dyDescent="0.25">
      <c r="A47" s="7" t="s">
        <v>91</v>
      </c>
      <c r="B47" s="22" t="s">
        <v>92</v>
      </c>
      <c r="C47" s="22"/>
      <c r="D47" s="22"/>
      <c r="E47" s="22"/>
      <c r="F47" s="22"/>
      <c r="G47" s="22"/>
    </row>
    <row r="48" spans="1:7" ht="30" customHeight="1" x14ac:dyDescent="0.25">
      <c r="A48" s="7" t="s">
        <v>93</v>
      </c>
      <c r="B48" s="22" t="s">
        <v>94</v>
      </c>
      <c r="C48" s="22"/>
      <c r="D48" s="22"/>
      <c r="E48" s="22"/>
      <c r="F48" s="22"/>
      <c r="G48" s="22"/>
    </row>
    <row r="50" spans="1:7" x14ac:dyDescent="0.25">
      <c r="A50" s="5" t="s">
        <v>95</v>
      </c>
      <c r="B50" s="6"/>
      <c r="C50" s="6"/>
      <c r="D50" s="6"/>
      <c r="E50" s="6"/>
      <c r="F50" s="6"/>
      <c r="G50" s="6"/>
    </row>
    <row r="51" spans="1:7" ht="15" customHeight="1" x14ac:dyDescent="0.25">
      <c r="A51" s="7" t="s">
        <v>96</v>
      </c>
      <c r="B51" s="22" t="s">
        <v>97</v>
      </c>
      <c r="C51" s="22"/>
      <c r="D51" s="22"/>
      <c r="E51" s="22"/>
      <c r="F51" s="22"/>
      <c r="G51" s="22"/>
    </row>
    <row r="52" spans="1:7" ht="15" customHeight="1" x14ac:dyDescent="0.25">
      <c r="A52" s="7" t="s">
        <v>98</v>
      </c>
      <c r="B52" s="22" t="s">
        <v>99</v>
      </c>
      <c r="C52" s="22"/>
      <c r="D52" s="22"/>
      <c r="E52" s="22"/>
      <c r="F52" s="22"/>
      <c r="G52" s="22"/>
    </row>
    <row r="53" spans="1:7" ht="15" customHeight="1" x14ac:dyDescent="0.25">
      <c r="A53" s="7" t="s">
        <v>100</v>
      </c>
      <c r="B53" s="22" t="s">
        <v>101</v>
      </c>
      <c r="C53" s="22"/>
      <c r="D53" s="22"/>
      <c r="E53" s="22"/>
      <c r="F53" s="22"/>
      <c r="G53" s="22"/>
    </row>
    <row r="54" spans="1:7" ht="15" customHeight="1" x14ac:dyDescent="0.25">
      <c r="A54" s="7" t="s">
        <v>102</v>
      </c>
      <c r="B54" s="22" t="s">
        <v>103</v>
      </c>
      <c r="C54" s="22"/>
      <c r="D54" s="22"/>
      <c r="E54" s="22"/>
      <c r="F54" s="22"/>
      <c r="G54" s="22"/>
    </row>
    <row r="55" spans="1:7" ht="15" customHeight="1" x14ac:dyDescent="0.25">
      <c r="A55" s="7" t="s">
        <v>104</v>
      </c>
      <c r="B55" s="22" t="s">
        <v>105</v>
      </c>
      <c r="C55" s="22"/>
      <c r="D55" s="22"/>
      <c r="E55" s="22"/>
      <c r="F55" s="22"/>
      <c r="G55" s="22"/>
    </row>
    <row r="56" spans="1:7" ht="15" customHeight="1" x14ac:dyDescent="0.25">
      <c r="A56" s="7" t="s">
        <v>106</v>
      </c>
      <c r="B56" s="22" t="s">
        <v>107</v>
      </c>
      <c r="C56" s="22"/>
      <c r="D56" s="22"/>
      <c r="E56" s="22"/>
      <c r="F56" s="22"/>
      <c r="G56" s="22"/>
    </row>
  </sheetData>
  <mergeCells count="31">
    <mergeCell ref="B56:G56"/>
    <mergeCell ref="B51:G51"/>
    <mergeCell ref="B52:G52"/>
    <mergeCell ref="B53:G53"/>
    <mergeCell ref="B54:G54"/>
    <mergeCell ref="B55:G55"/>
    <mergeCell ref="B42:G42"/>
    <mergeCell ref="B45:G45"/>
    <mergeCell ref="B46:G46"/>
    <mergeCell ref="B47:G47"/>
    <mergeCell ref="B48:G48"/>
    <mergeCell ref="C35:G35"/>
    <mergeCell ref="C36:G36"/>
    <mergeCell ref="B39:G39"/>
    <mergeCell ref="B40:G40"/>
    <mergeCell ref="B41:G41"/>
    <mergeCell ref="B28:G28"/>
    <mergeCell ref="C31:G31"/>
    <mergeCell ref="C32:G32"/>
    <mergeCell ref="C33:G33"/>
    <mergeCell ref="C34:G34"/>
    <mergeCell ref="B23:G23"/>
    <mergeCell ref="B24:G24"/>
    <mergeCell ref="B25:G25"/>
    <mergeCell ref="B26:G26"/>
    <mergeCell ref="B27:G27"/>
    <mergeCell ref="B5:G5"/>
    <mergeCell ref="B6:G6"/>
    <mergeCell ref="B7:G7"/>
    <mergeCell ref="B8:G8"/>
    <mergeCell ref="B9:G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F8F00"/>
  </sheetPr>
  <dimension ref="A1:D21"/>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18" customWidth="1"/>
    <col min="2" max="2" width="52" customWidth="1"/>
    <col min="3" max="3" width="34" customWidth="1"/>
    <col min="4" max="4" width="60" customWidth="1"/>
  </cols>
  <sheetData>
    <row r="1" spans="1:4" x14ac:dyDescent="0.25">
      <c r="A1" s="4" t="s">
        <v>108</v>
      </c>
    </row>
    <row r="2" spans="1:4" ht="31.5" customHeight="1" x14ac:dyDescent="0.25">
      <c r="A2" s="8" t="s">
        <v>109</v>
      </c>
      <c r="B2" s="8" t="s">
        <v>110</v>
      </c>
      <c r="C2" s="8" t="s">
        <v>111</v>
      </c>
      <c r="D2" s="8" t="s">
        <v>112</v>
      </c>
    </row>
    <row r="3" spans="1:4" ht="25.5" x14ac:dyDescent="0.25">
      <c r="A3" s="11" t="s">
        <v>113</v>
      </c>
      <c r="B3" s="2" t="s">
        <v>114</v>
      </c>
      <c r="C3" s="2" t="s">
        <v>115</v>
      </c>
      <c r="D3" s="2" t="s">
        <v>116</v>
      </c>
    </row>
    <row r="4" spans="1:4" x14ac:dyDescent="0.25">
      <c r="A4" s="11" t="s">
        <v>117</v>
      </c>
      <c r="B4" s="2" t="s">
        <v>118</v>
      </c>
      <c r="C4" s="2" t="s">
        <v>119</v>
      </c>
      <c r="D4" s="2"/>
    </row>
    <row r="5" spans="1:4" x14ac:dyDescent="0.25">
      <c r="A5" s="11" t="s">
        <v>120</v>
      </c>
      <c r="B5" s="2" t="s">
        <v>121</v>
      </c>
      <c r="C5" s="2" t="s">
        <v>122</v>
      </c>
      <c r="D5" s="2"/>
    </row>
    <row r="6" spans="1:4" x14ac:dyDescent="0.25">
      <c r="A6" s="11" t="s">
        <v>123</v>
      </c>
      <c r="B6" s="2" t="s">
        <v>124</v>
      </c>
      <c r="C6" s="2" t="s">
        <v>125</v>
      </c>
      <c r="D6" s="2" t="s">
        <v>126</v>
      </c>
    </row>
    <row r="7" spans="1:4" x14ac:dyDescent="0.25">
      <c r="A7" s="11" t="s">
        <v>127</v>
      </c>
      <c r="B7" s="2" t="s">
        <v>128</v>
      </c>
      <c r="C7" s="2" t="s">
        <v>129</v>
      </c>
      <c r="D7" s="2" t="s">
        <v>130</v>
      </c>
    </row>
    <row r="8" spans="1:4" x14ac:dyDescent="0.25">
      <c r="A8" s="11" t="s">
        <v>131</v>
      </c>
      <c r="B8" s="2" t="s">
        <v>132</v>
      </c>
      <c r="C8" s="2" t="s">
        <v>133</v>
      </c>
      <c r="D8" s="2" t="s">
        <v>134</v>
      </c>
    </row>
    <row r="9" spans="1:4" ht="25.5" x14ac:dyDescent="0.25">
      <c r="A9" s="11" t="s">
        <v>135</v>
      </c>
      <c r="B9" s="2" t="s">
        <v>136</v>
      </c>
      <c r="C9" s="2" t="s">
        <v>137</v>
      </c>
      <c r="D9" s="2"/>
    </row>
    <row r="10" spans="1:4" ht="25.5" x14ac:dyDescent="0.25">
      <c r="A10" s="11" t="s">
        <v>138</v>
      </c>
      <c r="B10" s="2" t="s">
        <v>139</v>
      </c>
      <c r="C10" s="2" t="s">
        <v>140</v>
      </c>
      <c r="D10" s="2"/>
    </row>
    <row r="11" spans="1:4" ht="38.25" x14ac:dyDescent="0.25">
      <c r="A11" s="11" t="s">
        <v>141</v>
      </c>
      <c r="B11" s="2" t="s">
        <v>142</v>
      </c>
      <c r="C11" s="2" t="s">
        <v>143</v>
      </c>
      <c r="D11" s="2" t="s">
        <v>144</v>
      </c>
    </row>
    <row r="12" spans="1:4" x14ac:dyDescent="0.25">
      <c r="A12" s="11" t="s">
        <v>145</v>
      </c>
      <c r="B12" s="2" t="s">
        <v>146</v>
      </c>
      <c r="C12" s="2" t="s">
        <v>147</v>
      </c>
      <c r="D12" s="2" t="s">
        <v>148</v>
      </c>
    </row>
    <row r="13" spans="1:4" x14ac:dyDescent="0.25">
      <c r="A13" s="11" t="s">
        <v>149</v>
      </c>
      <c r="B13" s="2" t="s">
        <v>150</v>
      </c>
      <c r="C13" s="2" t="s">
        <v>151</v>
      </c>
      <c r="D13" s="2" t="s">
        <v>152</v>
      </c>
    </row>
    <row r="14" spans="1:4" x14ac:dyDescent="0.25">
      <c r="A14" s="11" t="s">
        <v>153</v>
      </c>
      <c r="B14" s="2" t="s">
        <v>154</v>
      </c>
      <c r="C14" s="2" t="s">
        <v>155</v>
      </c>
      <c r="D14" s="2"/>
    </row>
    <row r="15" spans="1:4" x14ac:dyDescent="0.25">
      <c r="A15" s="11" t="s">
        <v>156</v>
      </c>
      <c r="B15" s="2" t="s">
        <v>157</v>
      </c>
      <c r="C15" s="2" t="s">
        <v>158</v>
      </c>
      <c r="D15" s="2" t="s">
        <v>159</v>
      </c>
    </row>
    <row r="16" spans="1:4" ht="25.5" x14ac:dyDescent="0.25">
      <c r="A16" s="11" t="s">
        <v>160</v>
      </c>
      <c r="B16" s="2" t="s">
        <v>161</v>
      </c>
      <c r="C16" s="2" t="s">
        <v>162</v>
      </c>
      <c r="D16" s="2" t="s">
        <v>163</v>
      </c>
    </row>
    <row r="17" spans="1:4" ht="25.5" x14ac:dyDescent="0.25">
      <c r="A17" s="11" t="s">
        <v>164</v>
      </c>
      <c r="B17" s="2" t="s">
        <v>165</v>
      </c>
      <c r="C17" s="2" t="s">
        <v>166</v>
      </c>
      <c r="D17" s="2" t="s">
        <v>167</v>
      </c>
    </row>
    <row r="18" spans="1:4" ht="25.5" x14ac:dyDescent="0.25">
      <c r="A18" s="11" t="s">
        <v>168</v>
      </c>
      <c r="B18" s="2" t="s">
        <v>169</v>
      </c>
      <c r="C18" s="2" t="s">
        <v>170</v>
      </c>
      <c r="D18" s="2" t="s">
        <v>171</v>
      </c>
    </row>
    <row r="19" spans="1:4" ht="25.5" x14ac:dyDescent="0.25">
      <c r="A19" s="11" t="s">
        <v>172</v>
      </c>
      <c r="B19" s="2" t="s">
        <v>173</v>
      </c>
      <c r="C19" s="2" t="s">
        <v>174</v>
      </c>
      <c r="D19" s="2" t="s">
        <v>175</v>
      </c>
    </row>
    <row r="20" spans="1:4" ht="25.5" x14ac:dyDescent="0.25">
      <c r="A20" s="11" t="s">
        <v>176</v>
      </c>
      <c r="B20" s="2" t="s">
        <v>177</v>
      </c>
      <c r="C20" s="2" t="s">
        <v>178</v>
      </c>
      <c r="D20" s="2" t="s">
        <v>179</v>
      </c>
    </row>
    <row r="21" spans="1:4" ht="38.25" x14ac:dyDescent="0.25">
      <c r="A21" s="11" t="s">
        <v>180</v>
      </c>
      <c r="B21" s="2" t="s">
        <v>181</v>
      </c>
      <c r="C21" s="2" t="s">
        <v>182</v>
      </c>
      <c r="D21" s="2" t="s">
        <v>183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C13"/>
  <sheetViews>
    <sheetView zoomScale="90" zoomScaleNormal="90" workbookViewId="0">
      <pane xSplit="1" ySplit="2" topLeftCell="B3" activePane="bottomRight" state="frozen"/>
      <selection pane="topRight" activeCell="B1" sqref="B1"/>
      <selection pane="bottomLeft" activeCell="A3" sqref="A3"/>
      <selection pane="bottomRight"/>
    </sheetView>
  </sheetViews>
  <sheetFormatPr defaultColWidth="8.7109375" defaultRowHeight="15" x14ac:dyDescent="0.25"/>
  <cols>
    <col min="1" max="1" width="38" customWidth="1"/>
    <col min="2" max="2" width="110" customWidth="1"/>
    <col min="3" max="3" width="34" customWidth="1"/>
  </cols>
  <sheetData>
    <row r="1" spans="1:3" x14ac:dyDescent="0.25">
      <c r="A1" s="4" t="s">
        <v>184</v>
      </c>
    </row>
    <row r="2" spans="1:3" ht="31.5" customHeight="1" x14ac:dyDescent="0.25">
      <c r="A2" s="8" t="s">
        <v>185</v>
      </c>
      <c r="B2" s="8" t="s">
        <v>186</v>
      </c>
      <c r="C2" s="8" t="s">
        <v>187</v>
      </c>
    </row>
    <row r="3" spans="1:3" ht="25.5" x14ac:dyDescent="0.25">
      <c r="A3" s="11" t="s">
        <v>188</v>
      </c>
      <c r="B3" s="2" t="s">
        <v>189</v>
      </c>
      <c r="C3" s="2" t="s">
        <v>190</v>
      </c>
    </row>
    <row r="4" spans="1:3" ht="25.5" x14ac:dyDescent="0.25">
      <c r="A4" s="11" t="s">
        <v>191</v>
      </c>
      <c r="B4" s="2" t="s">
        <v>192</v>
      </c>
      <c r="C4" s="2" t="s">
        <v>193</v>
      </c>
    </row>
    <row r="5" spans="1:3" ht="25.5" x14ac:dyDescent="0.25">
      <c r="A5" s="11" t="s">
        <v>194</v>
      </c>
      <c r="B5" s="2" t="s">
        <v>195</v>
      </c>
      <c r="C5" s="2" t="s">
        <v>196</v>
      </c>
    </row>
    <row r="6" spans="1:3" x14ac:dyDescent="0.25">
      <c r="A6" s="11" t="s">
        <v>197</v>
      </c>
      <c r="B6" s="2" t="s">
        <v>198</v>
      </c>
      <c r="C6" s="2" t="s">
        <v>199</v>
      </c>
    </row>
    <row r="7" spans="1:3" x14ac:dyDescent="0.25">
      <c r="A7" s="11" t="s">
        <v>200</v>
      </c>
      <c r="B7" s="2" t="s">
        <v>201</v>
      </c>
      <c r="C7" s="2" t="s">
        <v>21</v>
      </c>
    </row>
    <row r="8" spans="1:3" x14ac:dyDescent="0.25">
      <c r="A8" s="11" t="s">
        <v>202</v>
      </c>
      <c r="B8" s="2" t="s">
        <v>203</v>
      </c>
      <c r="C8" s="2" t="s">
        <v>204</v>
      </c>
    </row>
    <row r="9" spans="1:3" x14ac:dyDescent="0.25">
      <c r="A9" s="11" t="s">
        <v>205</v>
      </c>
      <c r="B9" s="2" t="s">
        <v>206</v>
      </c>
      <c r="C9" s="2" t="s">
        <v>207</v>
      </c>
    </row>
    <row r="10" spans="1:3" x14ac:dyDescent="0.25">
      <c r="A10" s="11" t="s">
        <v>208</v>
      </c>
      <c r="B10" s="2" t="s">
        <v>209</v>
      </c>
      <c r="C10" s="2" t="s">
        <v>210</v>
      </c>
    </row>
    <row r="11" spans="1:3" x14ac:dyDescent="0.25">
      <c r="A11" s="11" t="s">
        <v>211</v>
      </c>
      <c r="B11" s="2" t="s">
        <v>212</v>
      </c>
      <c r="C11" s="2" t="s">
        <v>32</v>
      </c>
    </row>
    <row r="12" spans="1:3" x14ac:dyDescent="0.25">
      <c r="A12" s="11" t="s">
        <v>213</v>
      </c>
      <c r="B12" s="2" t="s">
        <v>214</v>
      </c>
      <c r="C12" s="2" t="s">
        <v>215</v>
      </c>
    </row>
    <row r="13" spans="1:3" x14ac:dyDescent="0.25">
      <c r="A13" s="11" t="s">
        <v>216</v>
      </c>
      <c r="B13" s="2" t="s">
        <v>217</v>
      </c>
      <c r="C13" s="2" t="s">
        <v>26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69"/>
  <sheetViews>
    <sheetView tabSelected="1" zoomScale="90" zoomScaleNormal="90" workbookViewId="0">
      <pane xSplit="3" ySplit="1" topLeftCell="K2" activePane="bottomRight" state="frozen"/>
      <selection pane="topRight" activeCell="D1" sqref="D1"/>
      <selection pane="bottomLeft" activeCell="A3" sqref="A3"/>
      <selection pane="bottomRight" activeCell="N4" sqref="N4"/>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8" t="s">
        <v>218</v>
      </c>
      <c r="B1" s="8" t="s">
        <v>14</v>
      </c>
      <c r="C1" s="8" t="s">
        <v>219</v>
      </c>
      <c r="D1" s="8" t="s">
        <v>220</v>
      </c>
      <c r="E1" s="8" t="s">
        <v>221</v>
      </c>
      <c r="F1" s="8" t="s">
        <v>222</v>
      </c>
      <c r="G1" s="8" t="s">
        <v>223</v>
      </c>
      <c r="H1" s="8" t="s">
        <v>224</v>
      </c>
      <c r="I1" s="8" t="s">
        <v>225</v>
      </c>
      <c r="J1" s="8" t="s">
        <v>226</v>
      </c>
      <c r="K1" s="12" t="s">
        <v>227</v>
      </c>
      <c r="L1" s="12" t="s">
        <v>228</v>
      </c>
      <c r="M1" s="12" t="s">
        <v>229</v>
      </c>
      <c r="N1" s="8" t="s">
        <v>230</v>
      </c>
    </row>
    <row r="2" spans="1:14" ht="51" x14ac:dyDescent="0.25">
      <c r="A2" s="9" t="s">
        <v>231</v>
      </c>
      <c r="B2" s="10" t="s">
        <v>21</v>
      </c>
      <c r="C2" s="2" t="s">
        <v>232</v>
      </c>
      <c r="D2" s="2" t="s">
        <v>233</v>
      </c>
      <c r="E2" s="2" t="s">
        <v>234</v>
      </c>
      <c r="F2" s="2" t="s">
        <v>235</v>
      </c>
      <c r="G2" s="10" t="s">
        <v>236</v>
      </c>
      <c r="H2" s="2" t="s">
        <v>237</v>
      </c>
      <c r="I2" s="2" t="s">
        <v>238</v>
      </c>
      <c r="J2" s="2" t="s">
        <v>239</v>
      </c>
      <c r="K2" s="2" t="s">
        <v>765</v>
      </c>
      <c r="L2" s="10" t="s">
        <v>766</v>
      </c>
      <c r="M2" s="21" t="s">
        <v>767</v>
      </c>
      <c r="N2" s="2"/>
    </row>
    <row r="3" spans="1:14" ht="38.25" x14ac:dyDescent="0.25">
      <c r="A3" s="9" t="s">
        <v>241</v>
      </c>
      <c r="B3" s="10" t="s">
        <v>21</v>
      </c>
      <c r="C3" s="2" t="s">
        <v>242</v>
      </c>
      <c r="D3" s="2" t="s">
        <v>233</v>
      </c>
      <c r="E3" s="2" t="s">
        <v>234</v>
      </c>
      <c r="F3" s="2" t="s">
        <v>243</v>
      </c>
      <c r="G3" s="10" t="s">
        <v>236</v>
      </c>
      <c r="H3" s="2" t="s">
        <v>244</v>
      </c>
      <c r="I3" s="2" t="s">
        <v>245</v>
      </c>
      <c r="J3" s="2" t="s">
        <v>246</v>
      </c>
      <c r="K3" s="2" t="s">
        <v>768</v>
      </c>
      <c r="L3" s="10" t="s">
        <v>766</v>
      </c>
      <c r="M3" s="21" t="s">
        <v>769</v>
      </c>
      <c r="N3" s="2" t="s">
        <v>247</v>
      </c>
    </row>
    <row r="4" spans="1:14" ht="51" x14ac:dyDescent="0.25">
      <c r="A4" s="9" t="s">
        <v>248</v>
      </c>
      <c r="B4" s="10" t="s">
        <v>21</v>
      </c>
      <c r="C4" s="2" t="s">
        <v>249</v>
      </c>
      <c r="D4" s="2" t="s">
        <v>250</v>
      </c>
      <c r="E4" s="2" t="s">
        <v>251</v>
      </c>
      <c r="F4" s="2" t="s">
        <v>252</v>
      </c>
      <c r="G4" s="10" t="s">
        <v>236</v>
      </c>
      <c r="H4" s="2" t="s">
        <v>253</v>
      </c>
      <c r="I4" s="2" t="s">
        <v>254</v>
      </c>
      <c r="J4" s="2" t="s">
        <v>255</v>
      </c>
      <c r="K4" s="2" t="s">
        <v>770</v>
      </c>
      <c r="L4" s="10" t="s">
        <v>766</v>
      </c>
      <c r="M4" s="21" t="s">
        <v>771</v>
      </c>
      <c r="N4" s="2"/>
    </row>
    <row r="5" spans="1:14" ht="51" x14ac:dyDescent="0.25">
      <c r="A5" s="9" t="s">
        <v>262</v>
      </c>
      <c r="B5" s="10" t="s">
        <v>21</v>
      </c>
      <c r="C5" s="2" t="s">
        <v>263</v>
      </c>
      <c r="D5" s="2" t="s">
        <v>250</v>
      </c>
      <c r="E5" s="2" t="s">
        <v>264</v>
      </c>
      <c r="F5" s="2" t="s">
        <v>265</v>
      </c>
      <c r="G5" s="10" t="s">
        <v>236</v>
      </c>
      <c r="H5" s="2" t="s">
        <v>244</v>
      </c>
      <c r="I5" s="2" t="s">
        <v>266</v>
      </c>
      <c r="J5" s="2" t="s">
        <v>267</v>
      </c>
      <c r="K5" s="2"/>
      <c r="L5" s="10" t="s">
        <v>240</v>
      </c>
      <c r="M5" s="2"/>
      <c r="N5" s="2" t="s">
        <v>268</v>
      </c>
    </row>
    <row r="6" spans="1:14" ht="38.25" x14ac:dyDescent="0.25">
      <c r="A6" s="9" t="s">
        <v>269</v>
      </c>
      <c r="B6" s="10" t="s">
        <v>21</v>
      </c>
      <c r="C6" s="2" t="s">
        <v>270</v>
      </c>
      <c r="D6" s="2" t="s">
        <v>271</v>
      </c>
      <c r="E6" s="2" t="s">
        <v>272</v>
      </c>
      <c r="F6" s="2" t="s">
        <v>273</v>
      </c>
      <c r="G6" s="10" t="s">
        <v>236</v>
      </c>
      <c r="H6" s="2" t="s">
        <v>253</v>
      </c>
      <c r="I6" s="2" t="s">
        <v>274</v>
      </c>
      <c r="J6" s="2" t="s">
        <v>275</v>
      </c>
      <c r="K6" s="2"/>
      <c r="L6" s="10" t="s">
        <v>240</v>
      </c>
      <c r="M6" s="2"/>
      <c r="N6" s="2" t="s">
        <v>276</v>
      </c>
    </row>
    <row r="7" spans="1:14" ht="63.75" x14ac:dyDescent="0.25">
      <c r="A7" s="9" t="s">
        <v>277</v>
      </c>
      <c r="B7" s="10" t="s">
        <v>21</v>
      </c>
      <c r="C7" s="2" t="s">
        <v>278</v>
      </c>
      <c r="D7" s="2" t="s">
        <v>271</v>
      </c>
      <c r="E7" s="2" t="s">
        <v>279</v>
      </c>
      <c r="F7" s="2" t="s">
        <v>280</v>
      </c>
      <c r="G7" s="10" t="s">
        <v>236</v>
      </c>
      <c r="H7" s="2" t="s">
        <v>253</v>
      </c>
      <c r="I7" s="2" t="s">
        <v>281</v>
      </c>
      <c r="J7" s="2" t="s">
        <v>282</v>
      </c>
      <c r="K7" s="2"/>
      <c r="L7" s="10" t="s">
        <v>240</v>
      </c>
      <c r="M7" s="2"/>
      <c r="N7" s="2" t="s">
        <v>283</v>
      </c>
    </row>
    <row r="8" spans="1:14" ht="51" x14ac:dyDescent="0.25">
      <c r="A8" s="9" t="s">
        <v>293</v>
      </c>
      <c r="B8" s="10" t="s">
        <v>21</v>
      </c>
      <c r="C8" s="2" t="s">
        <v>294</v>
      </c>
      <c r="D8" s="2" t="s">
        <v>71</v>
      </c>
      <c r="E8" s="2" t="s">
        <v>295</v>
      </c>
      <c r="F8" s="2" t="s">
        <v>296</v>
      </c>
      <c r="G8" s="10" t="s">
        <v>236</v>
      </c>
      <c r="H8" s="2" t="s">
        <v>297</v>
      </c>
      <c r="I8" s="2" t="s">
        <v>298</v>
      </c>
      <c r="J8" s="2" t="s">
        <v>299</v>
      </c>
      <c r="K8" s="2"/>
      <c r="L8" s="10" t="s">
        <v>240</v>
      </c>
      <c r="M8" s="2"/>
      <c r="N8" s="2" t="s">
        <v>300</v>
      </c>
    </row>
    <row r="9" spans="1:14" ht="89.25" x14ac:dyDescent="0.25">
      <c r="A9" s="9" t="s">
        <v>317</v>
      </c>
      <c r="B9" s="10" t="s">
        <v>26</v>
      </c>
      <c r="C9" s="2" t="s">
        <v>318</v>
      </c>
      <c r="D9" s="2" t="s">
        <v>233</v>
      </c>
      <c r="E9" s="2" t="s">
        <v>234</v>
      </c>
      <c r="F9" s="2" t="s">
        <v>319</v>
      </c>
      <c r="G9" s="10" t="s">
        <v>236</v>
      </c>
      <c r="H9" s="2" t="s">
        <v>320</v>
      </c>
      <c r="I9" s="2" t="s">
        <v>321</v>
      </c>
      <c r="J9" s="2" t="s">
        <v>322</v>
      </c>
      <c r="K9" s="2"/>
      <c r="L9" s="10" t="s">
        <v>240</v>
      </c>
      <c r="M9" s="2"/>
      <c r="N9" s="2"/>
    </row>
    <row r="10" spans="1:14" ht="38.25" x14ac:dyDescent="0.25">
      <c r="A10" s="9" t="s">
        <v>323</v>
      </c>
      <c r="B10" s="10" t="s">
        <v>26</v>
      </c>
      <c r="C10" s="2" t="s">
        <v>324</v>
      </c>
      <c r="D10" s="2" t="s">
        <v>271</v>
      </c>
      <c r="E10" s="2" t="s">
        <v>325</v>
      </c>
      <c r="F10" s="2" t="s">
        <v>326</v>
      </c>
      <c r="G10" s="10" t="s">
        <v>236</v>
      </c>
      <c r="H10" s="2" t="s">
        <v>320</v>
      </c>
      <c r="I10" s="2" t="s">
        <v>327</v>
      </c>
      <c r="J10" s="2" t="s">
        <v>328</v>
      </c>
      <c r="K10" s="2"/>
      <c r="L10" s="10" t="s">
        <v>240</v>
      </c>
      <c r="M10" s="2"/>
      <c r="N10" s="2"/>
    </row>
    <row r="11" spans="1:14" ht="38.25" x14ac:dyDescent="0.25">
      <c r="A11" s="9" t="s">
        <v>329</v>
      </c>
      <c r="B11" s="10" t="s">
        <v>26</v>
      </c>
      <c r="C11" s="2" t="s">
        <v>330</v>
      </c>
      <c r="D11" s="2" t="s">
        <v>271</v>
      </c>
      <c r="E11" s="2" t="s">
        <v>331</v>
      </c>
      <c r="F11" s="2" t="s">
        <v>326</v>
      </c>
      <c r="G11" s="10" t="s">
        <v>236</v>
      </c>
      <c r="H11" s="2" t="s">
        <v>320</v>
      </c>
      <c r="I11" s="2" t="s">
        <v>332</v>
      </c>
      <c r="J11" s="2" t="s">
        <v>333</v>
      </c>
      <c r="K11" s="2"/>
      <c r="L11" s="10" t="s">
        <v>240</v>
      </c>
      <c r="M11" s="2"/>
      <c r="N11" s="2"/>
    </row>
    <row r="12" spans="1:14" ht="51" x14ac:dyDescent="0.25">
      <c r="A12" s="9" t="s">
        <v>334</v>
      </c>
      <c r="B12" s="10" t="s">
        <v>26</v>
      </c>
      <c r="C12" s="2" t="s">
        <v>335</v>
      </c>
      <c r="D12" s="2" t="s">
        <v>250</v>
      </c>
      <c r="E12" s="2" t="s">
        <v>336</v>
      </c>
      <c r="F12" s="2" t="s">
        <v>337</v>
      </c>
      <c r="G12" s="10" t="s">
        <v>236</v>
      </c>
      <c r="H12" s="2" t="s">
        <v>320</v>
      </c>
      <c r="I12" s="2" t="s">
        <v>338</v>
      </c>
      <c r="J12" s="2" t="s">
        <v>339</v>
      </c>
      <c r="K12" s="2"/>
      <c r="L12" s="10" t="s">
        <v>240</v>
      </c>
      <c r="M12" s="2"/>
      <c r="N12" s="2"/>
    </row>
    <row r="13" spans="1:14" ht="51" x14ac:dyDescent="0.25">
      <c r="A13" s="9" t="s">
        <v>340</v>
      </c>
      <c r="B13" s="10" t="s">
        <v>26</v>
      </c>
      <c r="C13" s="2" t="s">
        <v>341</v>
      </c>
      <c r="D13" s="2" t="s">
        <v>250</v>
      </c>
      <c r="E13" s="2" t="s">
        <v>342</v>
      </c>
      <c r="F13" s="2" t="s">
        <v>337</v>
      </c>
      <c r="G13" s="10" t="s">
        <v>236</v>
      </c>
      <c r="H13" s="2" t="s">
        <v>320</v>
      </c>
      <c r="I13" s="2" t="s">
        <v>343</v>
      </c>
      <c r="J13" s="2" t="s">
        <v>344</v>
      </c>
      <c r="K13" s="2"/>
      <c r="L13" s="10" t="s">
        <v>240</v>
      </c>
      <c r="M13" s="2"/>
      <c r="N13" s="2"/>
    </row>
    <row r="14" spans="1:14" ht="51" x14ac:dyDescent="0.25">
      <c r="A14" s="9" t="s">
        <v>345</v>
      </c>
      <c r="B14" s="10" t="s">
        <v>26</v>
      </c>
      <c r="C14" s="2" t="s">
        <v>346</v>
      </c>
      <c r="D14" s="2" t="s">
        <v>271</v>
      </c>
      <c r="E14" s="2" t="s">
        <v>347</v>
      </c>
      <c r="F14" s="2" t="s">
        <v>348</v>
      </c>
      <c r="G14" s="10" t="s">
        <v>236</v>
      </c>
      <c r="H14" s="2" t="s">
        <v>320</v>
      </c>
      <c r="I14" s="2" t="s">
        <v>349</v>
      </c>
      <c r="J14" s="2" t="s">
        <v>350</v>
      </c>
      <c r="K14" s="2"/>
      <c r="L14" s="10" t="s">
        <v>240</v>
      </c>
      <c r="M14" s="2"/>
      <c r="N14" s="2"/>
    </row>
    <row r="15" spans="1:14" ht="51" x14ac:dyDescent="0.25">
      <c r="A15" s="9" t="s">
        <v>351</v>
      </c>
      <c r="B15" s="10" t="s">
        <v>26</v>
      </c>
      <c r="C15" s="2" t="s">
        <v>352</v>
      </c>
      <c r="D15" s="2" t="s">
        <v>71</v>
      </c>
      <c r="E15" s="2" t="s">
        <v>353</v>
      </c>
      <c r="F15" s="2" t="s">
        <v>354</v>
      </c>
      <c r="G15" s="10" t="s">
        <v>236</v>
      </c>
      <c r="H15" s="2" t="s">
        <v>355</v>
      </c>
      <c r="I15" s="2" t="s">
        <v>356</v>
      </c>
      <c r="J15" s="2" t="s">
        <v>357</v>
      </c>
      <c r="K15" s="2"/>
      <c r="L15" s="10" t="s">
        <v>240</v>
      </c>
      <c r="M15" s="2"/>
      <c r="N15" s="2" t="s">
        <v>358</v>
      </c>
    </row>
    <row r="16" spans="1:14" ht="38.25" x14ac:dyDescent="0.25">
      <c r="A16" s="9" t="s">
        <v>359</v>
      </c>
      <c r="B16" s="10" t="s">
        <v>26</v>
      </c>
      <c r="C16" s="2" t="s">
        <v>360</v>
      </c>
      <c r="D16" s="2" t="s">
        <v>71</v>
      </c>
      <c r="E16" s="2" t="s">
        <v>361</v>
      </c>
      <c r="F16" s="2" t="s">
        <v>354</v>
      </c>
      <c r="G16" s="10" t="s">
        <v>236</v>
      </c>
      <c r="H16" s="2" t="s">
        <v>362</v>
      </c>
      <c r="I16" s="2" t="s">
        <v>363</v>
      </c>
      <c r="J16" s="2" t="s">
        <v>364</v>
      </c>
      <c r="K16" s="2"/>
      <c r="L16" s="10" t="s">
        <v>240</v>
      </c>
      <c r="M16" s="2"/>
      <c r="N16" s="2"/>
    </row>
    <row r="17" spans="1:14" ht="63.75" x14ac:dyDescent="0.25">
      <c r="A17" s="9" t="s">
        <v>373</v>
      </c>
      <c r="B17" s="10" t="s">
        <v>26</v>
      </c>
      <c r="C17" s="2" t="s">
        <v>374</v>
      </c>
      <c r="D17" s="2" t="s">
        <v>71</v>
      </c>
      <c r="E17" s="2" t="s">
        <v>375</v>
      </c>
      <c r="F17" s="2" t="s">
        <v>376</v>
      </c>
      <c r="G17" s="10" t="s">
        <v>236</v>
      </c>
      <c r="H17" s="2" t="s">
        <v>377</v>
      </c>
      <c r="I17" s="2" t="s">
        <v>378</v>
      </c>
      <c r="J17" s="2" t="s">
        <v>379</v>
      </c>
      <c r="K17" s="2"/>
      <c r="L17" s="10" t="s">
        <v>240</v>
      </c>
      <c r="M17" s="2"/>
      <c r="N17" s="2" t="s">
        <v>380</v>
      </c>
    </row>
    <row r="18" spans="1:14" ht="102" x14ac:dyDescent="0.25">
      <c r="A18" s="9" t="s">
        <v>387</v>
      </c>
      <c r="B18" s="10" t="s">
        <v>30</v>
      </c>
      <c r="C18" s="2" t="s">
        <v>388</v>
      </c>
      <c r="D18" s="2" t="s">
        <v>233</v>
      </c>
      <c r="E18" s="2" t="s">
        <v>234</v>
      </c>
      <c r="F18" s="2" t="s">
        <v>389</v>
      </c>
      <c r="G18" s="10" t="s">
        <v>236</v>
      </c>
      <c r="H18" s="2" t="s">
        <v>390</v>
      </c>
      <c r="I18" s="2" t="s">
        <v>391</v>
      </c>
      <c r="J18" s="2" t="s">
        <v>392</v>
      </c>
      <c r="K18" s="2"/>
      <c r="L18" s="10" t="s">
        <v>240</v>
      </c>
      <c r="M18" s="2"/>
      <c r="N18" s="2"/>
    </row>
    <row r="19" spans="1:14" ht="89.25" x14ac:dyDescent="0.25">
      <c r="A19" s="9" t="s">
        <v>393</v>
      </c>
      <c r="B19" s="10" t="s">
        <v>30</v>
      </c>
      <c r="C19" s="2" t="s">
        <v>394</v>
      </c>
      <c r="D19" s="2" t="s">
        <v>233</v>
      </c>
      <c r="E19" s="2" t="s">
        <v>234</v>
      </c>
      <c r="F19" s="2" t="s">
        <v>395</v>
      </c>
      <c r="G19" s="10" t="s">
        <v>236</v>
      </c>
      <c r="H19" s="2" t="s">
        <v>396</v>
      </c>
      <c r="I19" s="2" t="s">
        <v>397</v>
      </c>
      <c r="J19" s="2" t="s">
        <v>398</v>
      </c>
      <c r="K19" s="2"/>
      <c r="L19" s="10" t="s">
        <v>240</v>
      </c>
      <c r="M19" s="2"/>
      <c r="N19" s="2"/>
    </row>
    <row r="20" spans="1:14" ht="89.25" x14ac:dyDescent="0.25">
      <c r="A20" s="9" t="s">
        <v>399</v>
      </c>
      <c r="B20" s="10" t="s">
        <v>30</v>
      </c>
      <c r="C20" s="2" t="s">
        <v>400</v>
      </c>
      <c r="D20" s="2" t="s">
        <v>233</v>
      </c>
      <c r="E20" s="2" t="s">
        <v>234</v>
      </c>
      <c r="F20" s="2" t="s">
        <v>401</v>
      </c>
      <c r="G20" s="10" t="s">
        <v>236</v>
      </c>
      <c r="H20" s="2" t="s">
        <v>396</v>
      </c>
      <c r="I20" s="2" t="s">
        <v>402</v>
      </c>
      <c r="J20" s="2" t="s">
        <v>403</v>
      </c>
      <c r="K20" s="2"/>
      <c r="L20" s="10" t="s">
        <v>240</v>
      </c>
      <c r="M20" s="2"/>
      <c r="N20" s="2"/>
    </row>
    <row r="21" spans="1:14" ht="89.25" x14ac:dyDescent="0.25">
      <c r="A21" s="9" t="s">
        <v>404</v>
      </c>
      <c r="B21" s="10" t="s">
        <v>30</v>
      </c>
      <c r="C21" s="2" t="s">
        <v>405</v>
      </c>
      <c r="D21" s="2" t="s">
        <v>271</v>
      </c>
      <c r="E21" s="2" t="s">
        <v>325</v>
      </c>
      <c r="F21" s="2" t="s">
        <v>406</v>
      </c>
      <c r="G21" s="10" t="s">
        <v>236</v>
      </c>
      <c r="H21" s="2" t="s">
        <v>396</v>
      </c>
      <c r="I21" s="2" t="s">
        <v>407</v>
      </c>
      <c r="J21" s="2" t="s">
        <v>408</v>
      </c>
      <c r="K21" s="2"/>
      <c r="L21" s="10" t="s">
        <v>240</v>
      </c>
      <c r="M21" s="2"/>
      <c r="N21" s="2"/>
    </row>
    <row r="22" spans="1:14" ht="89.25" x14ac:dyDescent="0.25">
      <c r="A22" s="9" t="s">
        <v>409</v>
      </c>
      <c r="B22" s="10" t="s">
        <v>30</v>
      </c>
      <c r="C22" s="2" t="s">
        <v>410</v>
      </c>
      <c r="D22" s="2" t="s">
        <v>271</v>
      </c>
      <c r="E22" s="2" t="s">
        <v>331</v>
      </c>
      <c r="F22" s="2" t="s">
        <v>406</v>
      </c>
      <c r="G22" s="10" t="s">
        <v>236</v>
      </c>
      <c r="H22" s="2" t="s">
        <v>396</v>
      </c>
      <c r="I22" s="2" t="s">
        <v>411</v>
      </c>
      <c r="J22" s="2" t="s">
        <v>412</v>
      </c>
      <c r="K22" s="2"/>
      <c r="L22" s="10" t="s">
        <v>240</v>
      </c>
      <c r="M22" s="2"/>
      <c r="N22" s="2"/>
    </row>
    <row r="23" spans="1:14" ht="89.25" x14ac:dyDescent="0.25">
      <c r="A23" s="9" t="s">
        <v>413</v>
      </c>
      <c r="B23" s="10" t="s">
        <v>30</v>
      </c>
      <c r="C23" s="2" t="s">
        <v>414</v>
      </c>
      <c r="D23" s="2" t="s">
        <v>250</v>
      </c>
      <c r="E23" s="2" t="s">
        <v>336</v>
      </c>
      <c r="F23" s="2" t="s">
        <v>415</v>
      </c>
      <c r="G23" s="10" t="s">
        <v>236</v>
      </c>
      <c r="H23" s="2" t="s">
        <v>396</v>
      </c>
      <c r="I23" s="2" t="s">
        <v>416</v>
      </c>
      <c r="J23" s="2" t="s">
        <v>417</v>
      </c>
      <c r="K23" s="2"/>
      <c r="L23" s="10" t="s">
        <v>240</v>
      </c>
      <c r="M23" s="2"/>
      <c r="N23" s="2"/>
    </row>
    <row r="24" spans="1:14" ht="89.25" x14ac:dyDescent="0.25">
      <c r="A24" s="9" t="s">
        <v>418</v>
      </c>
      <c r="B24" s="10" t="s">
        <v>30</v>
      </c>
      <c r="C24" s="2" t="s">
        <v>419</v>
      </c>
      <c r="D24" s="2" t="s">
        <v>271</v>
      </c>
      <c r="E24" s="2" t="s">
        <v>347</v>
      </c>
      <c r="F24" s="2" t="s">
        <v>415</v>
      </c>
      <c r="G24" s="10" t="s">
        <v>236</v>
      </c>
      <c r="H24" s="2" t="s">
        <v>396</v>
      </c>
      <c r="I24" s="2" t="s">
        <v>420</v>
      </c>
      <c r="J24" s="2" t="s">
        <v>421</v>
      </c>
      <c r="K24" s="2"/>
      <c r="L24" s="10" t="s">
        <v>240</v>
      </c>
      <c r="M24" s="2"/>
      <c r="N24" s="2"/>
    </row>
    <row r="25" spans="1:14" ht="102" x14ac:dyDescent="0.25">
      <c r="A25" s="9" t="s">
        <v>422</v>
      </c>
      <c r="B25" s="10" t="s">
        <v>30</v>
      </c>
      <c r="C25" s="2" t="s">
        <v>423</v>
      </c>
      <c r="D25" s="2" t="s">
        <v>71</v>
      </c>
      <c r="E25" s="2" t="s">
        <v>424</v>
      </c>
      <c r="F25" s="2" t="s">
        <v>425</v>
      </c>
      <c r="G25" s="10" t="s">
        <v>236</v>
      </c>
      <c r="H25" s="2" t="s">
        <v>426</v>
      </c>
      <c r="I25" s="2" t="s">
        <v>427</v>
      </c>
      <c r="J25" s="2" t="s">
        <v>428</v>
      </c>
      <c r="K25" s="2"/>
      <c r="L25" s="10" t="s">
        <v>240</v>
      </c>
      <c r="M25" s="2"/>
      <c r="N25" s="2" t="s">
        <v>429</v>
      </c>
    </row>
    <row r="26" spans="1:14" ht="76.5" x14ac:dyDescent="0.25">
      <c r="A26" s="9" t="s">
        <v>458</v>
      </c>
      <c r="B26" s="10" t="s">
        <v>32</v>
      </c>
      <c r="C26" s="2" t="s">
        <v>459</v>
      </c>
      <c r="D26" s="2" t="s">
        <v>233</v>
      </c>
      <c r="E26" s="2" t="s">
        <v>234</v>
      </c>
      <c r="F26" s="2" t="s">
        <v>460</v>
      </c>
      <c r="G26" s="10" t="s">
        <v>236</v>
      </c>
      <c r="H26" s="2" t="s">
        <v>461</v>
      </c>
      <c r="I26" s="2" t="s">
        <v>462</v>
      </c>
      <c r="J26" s="2" t="s">
        <v>463</v>
      </c>
      <c r="K26" s="2"/>
      <c r="L26" s="10" t="s">
        <v>240</v>
      </c>
      <c r="M26" s="2"/>
      <c r="N26" s="2" t="s">
        <v>464</v>
      </c>
    </row>
    <row r="27" spans="1:14" ht="51" x14ac:dyDescent="0.25">
      <c r="A27" s="9" t="s">
        <v>465</v>
      </c>
      <c r="B27" s="10" t="s">
        <v>32</v>
      </c>
      <c r="C27" s="2" t="s">
        <v>466</v>
      </c>
      <c r="D27" s="2" t="s">
        <v>271</v>
      </c>
      <c r="E27" s="2" t="s">
        <v>467</v>
      </c>
      <c r="F27" s="2" t="s">
        <v>468</v>
      </c>
      <c r="G27" s="10" t="s">
        <v>236</v>
      </c>
      <c r="H27" s="2" t="s">
        <v>461</v>
      </c>
      <c r="I27" s="2" t="s">
        <v>469</v>
      </c>
      <c r="J27" s="2" t="s">
        <v>470</v>
      </c>
      <c r="K27" s="2"/>
      <c r="L27" s="10" t="s">
        <v>240</v>
      </c>
      <c r="M27" s="2"/>
      <c r="N27" s="2" t="s">
        <v>464</v>
      </c>
    </row>
    <row r="28" spans="1:14" ht="51" x14ac:dyDescent="0.25">
      <c r="A28" s="9" t="s">
        <v>471</v>
      </c>
      <c r="B28" s="10" t="s">
        <v>32</v>
      </c>
      <c r="C28" s="2" t="s">
        <v>472</v>
      </c>
      <c r="D28" s="2" t="s">
        <v>271</v>
      </c>
      <c r="E28" s="2" t="s">
        <v>473</v>
      </c>
      <c r="F28" s="2" t="s">
        <v>474</v>
      </c>
      <c r="G28" s="10" t="s">
        <v>236</v>
      </c>
      <c r="H28" s="2" t="s">
        <v>461</v>
      </c>
      <c r="I28" s="2" t="s">
        <v>475</v>
      </c>
      <c r="J28" s="2" t="s">
        <v>476</v>
      </c>
      <c r="K28" s="2"/>
      <c r="L28" s="10" t="s">
        <v>240</v>
      </c>
      <c r="M28" s="2"/>
      <c r="N28" s="2"/>
    </row>
    <row r="29" spans="1:14" ht="63.75" x14ac:dyDescent="0.25">
      <c r="A29" s="9" t="s">
        <v>490</v>
      </c>
      <c r="B29" s="10" t="s">
        <v>32</v>
      </c>
      <c r="C29" s="2" t="s">
        <v>491</v>
      </c>
      <c r="D29" s="2" t="s">
        <v>233</v>
      </c>
      <c r="E29" s="2" t="s">
        <v>492</v>
      </c>
      <c r="F29" s="2" t="s">
        <v>493</v>
      </c>
      <c r="G29" s="10" t="s">
        <v>236</v>
      </c>
      <c r="H29" s="2" t="s">
        <v>461</v>
      </c>
      <c r="I29" s="2" t="s">
        <v>494</v>
      </c>
      <c r="J29" s="2" t="s">
        <v>495</v>
      </c>
      <c r="K29" s="2"/>
      <c r="L29" s="10" t="s">
        <v>240</v>
      </c>
      <c r="M29" s="2"/>
      <c r="N29" s="2" t="s">
        <v>496</v>
      </c>
    </row>
    <row r="30" spans="1:14" ht="63.75" x14ac:dyDescent="0.25">
      <c r="A30" s="9" t="s">
        <v>497</v>
      </c>
      <c r="B30" s="10" t="s">
        <v>32</v>
      </c>
      <c r="C30" s="2" t="s">
        <v>498</v>
      </c>
      <c r="D30" s="2" t="s">
        <v>71</v>
      </c>
      <c r="E30" s="2" t="s">
        <v>499</v>
      </c>
      <c r="F30" s="2" t="s">
        <v>500</v>
      </c>
      <c r="G30" s="10" t="s">
        <v>236</v>
      </c>
      <c r="H30" s="2" t="s">
        <v>461</v>
      </c>
      <c r="I30" s="2" t="s">
        <v>501</v>
      </c>
      <c r="J30" s="2" t="s">
        <v>502</v>
      </c>
      <c r="K30" s="2"/>
      <c r="L30" s="10" t="s">
        <v>240</v>
      </c>
      <c r="M30" s="2"/>
      <c r="N30" s="2" t="s">
        <v>464</v>
      </c>
    </row>
    <row r="31" spans="1:14" ht="51" x14ac:dyDescent="0.25">
      <c r="A31" s="9" t="s">
        <v>503</v>
      </c>
      <c r="B31" s="10" t="s">
        <v>32</v>
      </c>
      <c r="C31" s="2" t="s">
        <v>504</v>
      </c>
      <c r="D31" s="2" t="s">
        <v>71</v>
      </c>
      <c r="E31" s="2" t="s">
        <v>447</v>
      </c>
      <c r="F31" s="2" t="s">
        <v>505</v>
      </c>
      <c r="G31" s="10" t="s">
        <v>236</v>
      </c>
      <c r="H31" s="2" t="s">
        <v>506</v>
      </c>
      <c r="I31" s="2" t="s">
        <v>507</v>
      </c>
      <c r="J31" s="2" t="s">
        <v>508</v>
      </c>
      <c r="K31" s="2"/>
      <c r="L31" s="10" t="s">
        <v>240</v>
      </c>
      <c r="M31" s="2"/>
      <c r="N31" s="2"/>
    </row>
    <row r="32" spans="1:14" ht="51" x14ac:dyDescent="0.25">
      <c r="A32" s="9" t="s">
        <v>199</v>
      </c>
      <c r="B32" s="10" t="s">
        <v>32</v>
      </c>
      <c r="C32" s="2" t="s">
        <v>509</v>
      </c>
      <c r="D32" s="2" t="s">
        <v>71</v>
      </c>
      <c r="E32" s="2" t="s">
        <v>510</v>
      </c>
      <c r="F32" s="2" t="s">
        <v>511</v>
      </c>
      <c r="G32" s="10" t="s">
        <v>236</v>
      </c>
      <c r="H32" s="2" t="s">
        <v>512</v>
      </c>
      <c r="I32" s="2" t="s">
        <v>513</v>
      </c>
      <c r="J32" s="2" t="s">
        <v>514</v>
      </c>
      <c r="K32" s="2"/>
      <c r="L32" s="10" t="s">
        <v>240</v>
      </c>
      <c r="M32" s="2"/>
      <c r="N32" s="2" t="s">
        <v>515</v>
      </c>
    </row>
    <row r="33" spans="1:14" ht="76.5" x14ac:dyDescent="0.25">
      <c r="A33" s="9" t="s">
        <v>516</v>
      </c>
      <c r="B33" s="10" t="s">
        <v>32</v>
      </c>
      <c r="C33" s="2" t="s">
        <v>517</v>
      </c>
      <c r="D33" s="2" t="s">
        <v>71</v>
      </c>
      <c r="E33" s="2" t="s">
        <v>518</v>
      </c>
      <c r="F33" s="2" t="s">
        <v>519</v>
      </c>
      <c r="G33" s="10" t="s">
        <v>236</v>
      </c>
      <c r="H33" s="2" t="s">
        <v>520</v>
      </c>
      <c r="I33" s="2" t="s">
        <v>521</v>
      </c>
      <c r="J33" s="2" t="s">
        <v>522</v>
      </c>
      <c r="K33" s="2"/>
      <c r="L33" s="10" t="s">
        <v>240</v>
      </c>
      <c r="M33" s="2"/>
      <c r="N33" s="2" t="s">
        <v>523</v>
      </c>
    </row>
    <row r="34" spans="1:14" ht="25.5" x14ac:dyDescent="0.25">
      <c r="A34" s="9" t="s">
        <v>532</v>
      </c>
      <c r="B34" s="10" t="s">
        <v>35</v>
      </c>
      <c r="C34" s="2" t="s">
        <v>533</v>
      </c>
      <c r="D34" s="2" t="s">
        <v>233</v>
      </c>
      <c r="E34" s="2" t="s">
        <v>534</v>
      </c>
      <c r="F34" s="2" t="s">
        <v>535</v>
      </c>
      <c r="G34" s="10" t="s">
        <v>236</v>
      </c>
      <c r="H34" s="2" t="s">
        <v>536</v>
      </c>
      <c r="I34" s="2" t="s">
        <v>537</v>
      </c>
      <c r="J34" s="2" t="s">
        <v>538</v>
      </c>
      <c r="K34" s="2"/>
      <c r="L34" s="10" t="s">
        <v>240</v>
      </c>
      <c r="M34" s="2"/>
      <c r="N34" s="2"/>
    </row>
    <row r="35" spans="1:14" ht="25.5" x14ac:dyDescent="0.25">
      <c r="A35" s="9" t="s">
        <v>550</v>
      </c>
      <c r="B35" s="10" t="s">
        <v>35</v>
      </c>
      <c r="C35" s="2" t="s">
        <v>551</v>
      </c>
      <c r="D35" s="2" t="s">
        <v>233</v>
      </c>
      <c r="E35" s="2" t="s">
        <v>534</v>
      </c>
      <c r="F35" s="2" t="s">
        <v>552</v>
      </c>
      <c r="G35" s="10" t="s">
        <v>236</v>
      </c>
      <c r="H35" s="2" t="s">
        <v>553</v>
      </c>
      <c r="I35" s="2" t="s">
        <v>543</v>
      </c>
      <c r="J35" s="2" t="s">
        <v>554</v>
      </c>
      <c r="K35" s="2"/>
      <c r="L35" s="10" t="s">
        <v>240</v>
      </c>
      <c r="M35" s="2"/>
      <c r="N35" s="2"/>
    </row>
    <row r="36" spans="1:14" x14ac:dyDescent="0.25">
      <c r="A36" s="9" t="s">
        <v>555</v>
      </c>
      <c r="B36" s="10" t="s">
        <v>35</v>
      </c>
      <c r="C36" s="2" t="s">
        <v>556</v>
      </c>
      <c r="D36" s="2" t="s">
        <v>250</v>
      </c>
      <c r="E36" s="2" t="s">
        <v>557</v>
      </c>
      <c r="F36" s="2" t="s">
        <v>558</v>
      </c>
      <c r="G36" s="10" t="s">
        <v>236</v>
      </c>
      <c r="H36" s="2" t="s">
        <v>559</v>
      </c>
      <c r="I36" s="2" t="s">
        <v>560</v>
      </c>
      <c r="J36" s="2" t="s">
        <v>561</v>
      </c>
      <c r="K36" s="2"/>
      <c r="L36" s="10" t="s">
        <v>240</v>
      </c>
      <c r="M36" s="2"/>
      <c r="N36" s="2"/>
    </row>
    <row r="37" spans="1:14" ht="25.5" x14ac:dyDescent="0.25">
      <c r="A37" s="9" t="s">
        <v>562</v>
      </c>
      <c r="B37" s="10" t="s">
        <v>40</v>
      </c>
      <c r="C37" s="2" t="s">
        <v>563</v>
      </c>
      <c r="D37" s="2" t="s">
        <v>233</v>
      </c>
      <c r="E37" s="2" t="s">
        <v>534</v>
      </c>
      <c r="F37" s="2" t="s">
        <v>564</v>
      </c>
      <c r="G37" s="10" t="s">
        <v>236</v>
      </c>
      <c r="H37" s="2" t="s">
        <v>565</v>
      </c>
      <c r="I37" s="2" t="s">
        <v>543</v>
      </c>
      <c r="J37" s="2" t="s">
        <v>566</v>
      </c>
      <c r="K37" s="2"/>
      <c r="L37" s="10" t="s">
        <v>240</v>
      </c>
      <c r="M37" s="2"/>
      <c r="N37" s="2"/>
    </row>
    <row r="38" spans="1:14" ht="25.5" x14ac:dyDescent="0.25">
      <c r="A38" s="9" t="s">
        <v>567</v>
      </c>
      <c r="B38" s="10" t="s">
        <v>40</v>
      </c>
      <c r="C38" s="2" t="s">
        <v>568</v>
      </c>
      <c r="D38" s="2" t="s">
        <v>233</v>
      </c>
      <c r="E38" s="2" t="s">
        <v>534</v>
      </c>
      <c r="F38" s="2" t="s">
        <v>564</v>
      </c>
      <c r="G38" s="10" t="s">
        <v>236</v>
      </c>
      <c r="H38" s="2" t="s">
        <v>569</v>
      </c>
      <c r="I38" s="2" t="s">
        <v>543</v>
      </c>
      <c r="J38" s="2" t="s">
        <v>570</v>
      </c>
      <c r="K38" s="2"/>
      <c r="L38" s="10" t="s">
        <v>240</v>
      </c>
      <c r="M38" s="2"/>
      <c r="N38" s="2"/>
    </row>
    <row r="39" spans="1:14" ht="25.5" x14ac:dyDescent="0.25">
      <c r="A39" s="9" t="s">
        <v>571</v>
      </c>
      <c r="B39" s="10" t="s">
        <v>40</v>
      </c>
      <c r="C39" s="2" t="s">
        <v>572</v>
      </c>
      <c r="D39" s="2" t="s">
        <v>250</v>
      </c>
      <c r="E39" s="2" t="s">
        <v>534</v>
      </c>
      <c r="F39" s="2" t="s">
        <v>573</v>
      </c>
      <c r="G39" s="10" t="s">
        <v>236</v>
      </c>
      <c r="H39" s="2" t="s">
        <v>574</v>
      </c>
      <c r="I39" s="2" t="s">
        <v>543</v>
      </c>
      <c r="J39" s="2" t="s">
        <v>575</v>
      </c>
      <c r="K39" s="2"/>
      <c r="L39" s="10" t="s">
        <v>240</v>
      </c>
      <c r="M39" s="2"/>
      <c r="N39" s="2"/>
    </row>
    <row r="40" spans="1:14" x14ac:dyDescent="0.25">
      <c r="A40" s="9" t="s">
        <v>576</v>
      </c>
      <c r="B40" s="10" t="s">
        <v>40</v>
      </c>
      <c r="C40" s="2" t="s">
        <v>577</v>
      </c>
      <c r="D40" s="2" t="s">
        <v>250</v>
      </c>
      <c r="E40" s="2" t="s">
        <v>534</v>
      </c>
      <c r="F40" s="2" t="s">
        <v>573</v>
      </c>
      <c r="G40" s="10" t="s">
        <v>236</v>
      </c>
      <c r="H40" s="2" t="s">
        <v>578</v>
      </c>
      <c r="I40" s="2" t="s">
        <v>543</v>
      </c>
      <c r="J40" s="2" t="s">
        <v>579</v>
      </c>
      <c r="K40" s="2"/>
      <c r="L40" s="10" t="s">
        <v>240</v>
      </c>
      <c r="M40" s="2"/>
      <c r="N40" s="2" t="s">
        <v>580</v>
      </c>
    </row>
    <row r="41" spans="1:14" ht="25.5" x14ac:dyDescent="0.25">
      <c r="A41" s="9" t="s">
        <v>590</v>
      </c>
      <c r="B41" s="10" t="s">
        <v>42</v>
      </c>
      <c r="C41" s="2" t="s">
        <v>591</v>
      </c>
      <c r="D41" s="2" t="s">
        <v>233</v>
      </c>
      <c r="E41" s="2" t="s">
        <v>534</v>
      </c>
      <c r="F41" s="2" t="s">
        <v>592</v>
      </c>
      <c r="G41" s="10" t="s">
        <v>236</v>
      </c>
      <c r="H41" s="2" t="s">
        <v>536</v>
      </c>
      <c r="I41" s="2" t="s">
        <v>593</v>
      </c>
      <c r="J41" s="2" t="s">
        <v>594</v>
      </c>
      <c r="K41" s="2"/>
      <c r="L41" s="10" t="s">
        <v>240</v>
      </c>
      <c r="M41" s="2"/>
      <c r="N41" s="2"/>
    </row>
    <row r="42" spans="1:14" ht="25.5" x14ac:dyDescent="0.25">
      <c r="A42" s="9" t="s">
        <v>595</v>
      </c>
      <c r="B42" s="10" t="s">
        <v>42</v>
      </c>
      <c r="C42" s="2" t="s">
        <v>596</v>
      </c>
      <c r="D42" s="2" t="s">
        <v>271</v>
      </c>
      <c r="E42" s="2" t="s">
        <v>597</v>
      </c>
      <c r="F42" s="2" t="s">
        <v>592</v>
      </c>
      <c r="G42" s="10" t="s">
        <v>236</v>
      </c>
      <c r="H42" s="2" t="s">
        <v>536</v>
      </c>
      <c r="I42" s="2" t="s">
        <v>598</v>
      </c>
      <c r="J42" s="2" t="s">
        <v>599</v>
      </c>
      <c r="K42" s="2"/>
      <c r="L42" s="10" t="s">
        <v>240</v>
      </c>
      <c r="M42" s="2"/>
      <c r="N42" s="2" t="s">
        <v>600</v>
      </c>
    </row>
    <row r="43" spans="1:14" ht="25.5" x14ac:dyDescent="0.25">
      <c r="A43" s="9" t="s">
        <v>601</v>
      </c>
      <c r="B43" s="10" t="s">
        <v>42</v>
      </c>
      <c r="C43" s="2" t="s">
        <v>602</v>
      </c>
      <c r="D43" s="2" t="s">
        <v>250</v>
      </c>
      <c r="E43" s="2" t="s">
        <v>597</v>
      </c>
      <c r="F43" s="2" t="s">
        <v>603</v>
      </c>
      <c r="G43" s="10" t="s">
        <v>236</v>
      </c>
      <c r="H43" s="2" t="s">
        <v>536</v>
      </c>
      <c r="I43" s="2" t="s">
        <v>604</v>
      </c>
      <c r="J43" s="2" t="s">
        <v>605</v>
      </c>
      <c r="K43" s="2"/>
      <c r="L43" s="10" t="s">
        <v>240</v>
      </c>
      <c r="M43" s="2"/>
      <c r="N43" s="2"/>
    </row>
    <row r="44" spans="1:14" ht="25.5" x14ac:dyDescent="0.25">
      <c r="A44" s="9" t="s">
        <v>611</v>
      </c>
      <c r="B44" s="10" t="s">
        <v>42</v>
      </c>
      <c r="C44" s="2" t="s">
        <v>612</v>
      </c>
      <c r="D44" s="2" t="s">
        <v>71</v>
      </c>
      <c r="E44" s="2" t="s">
        <v>534</v>
      </c>
      <c r="F44" s="2" t="s">
        <v>613</v>
      </c>
      <c r="G44" s="10" t="s">
        <v>236</v>
      </c>
      <c r="H44" s="2" t="s">
        <v>614</v>
      </c>
      <c r="I44" s="2" t="s">
        <v>615</v>
      </c>
      <c r="J44" s="2" t="s">
        <v>616</v>
      </c>
      <c r="K44" s="2"/>
      <c r="L44" s="10" t="s">
        <v>240</v>
      </c>
      <c r="M44" s="2"/>
      <c r="N44" s="2" t="s">
        <v>617</v>
      </c>
    </row>
    <row r="45" spans="1:14" ht="25.5" x14ac:dyDescent="0.25">
      <c r="A45" s="9" t="s">
        <v>618</v>
      </c>
      <c r="B45" s="10" t="s">
        <v>44</v>
      </c>
      <c r="C45" s="2" t="s">
        <v>619</v>
      </c>
      <c r="D45" s="2" t="s">
        <v>233</v>
      </c>
      <c r="E45" s="2" t="s">
        <v>534</v>
      </c>
      <c r="F45" s="2" t="s">
        <v>620</v>
      </c>
      <c r="G45" s="10" t="s">
        <v>236</v>
      </c>
      <c r="H45" s="2" t="s">
        <v>621</v>
      </c>
      <c r="I45" s="2" t="s">
        <v>622</v>
      </c>
      <c r="J45" s="2" t="s">
        <v>623</v>
      </c>
      <c r="K45" s="2"/>
      <c r="L45" s="10" t="s">
        <v>240</v>
      </c>
      <c r="M45" s="2"/>
      <c r="N45" s="2"/>
    </row>
    <row r="46" spans="1:14" x14ac:dyDescent="0.25">
      <c r="A46" s="9" t="s">
        <v>624</v>
      </c>
      <c r="B46" s="10" t="s">
        <v>44</v>
      </c>
      <c r="C46" s="2" t="s">
        <v>625</v>
      </c>
      <c r="D46" s="2" t="s">
        <v>250</v>
      </c>
      <c r="E46" s="2" t="s">
        <v>608</v>
      </c>
      <c r="F46" s="2" t="s">
        <v>626</v>
      </c>
      <c r="G46" s="10" t="s">
        <v>236</v>
      </c>
      <c r="H46" s="2" t="s">
        <v>627</v>
      </c>
      <c r="I46" s="2" t="s">
        <v>628</v>
      </c>
      <c r="J46" s="2" t="s">
        <v>629</v>
      </c>
      <c r="K46" s="2"/>
      <c r="L46" s="10" t="s">
        <v>240</v>
      </c>
      <c r="M46" s="2"/>
      <c r="N46" s="2"/>
    </row>
    <row r="47" spans="1:14" ht="25.5" x14ac:dyDescent="0.25">
      <c r="A47" s="9" t="s">
        <v>630</v>
      </c>
      <c r="B47" s="10" t="s">
        <v>44</v>
      </c>
      <c r="C47" s="2" t="s">
        <v>631</v>
      </c>
      <c r="D47" s="2" t="s">
        <v>250</v>
      </c>
      <c r="E47" s="2" t="s">
        <v>534</v>
      </c>
      <c r="F47" s="2" t="s">
        <v>626</v>
      </c>
      <c r="G47" s="10" t="s">
        <v>236</v>
      </c>
      <c r="H47" s="2" t="s">
        <v>632</v>
      </c>
      <c r="I47" s="2" t="s">
        <v>633</v>
      </c>
      <c r="J47" s="2" t="s">
        <v>634</v>
      </c>
      <c r="K47" s="2"/>
      <c r="L47" s="10" t="s">
        <v>240</v>
      </c>
      <c r="M47" s="2"/>
      <c r="N47" s="2"/>
    </row>
    <row r="48" spans="1:14" ht="25.5" x14ac:dyDescent="0.25">
      <c r="A48" s="9" t="s">
        <v>647</v>
      </c>
      <c r="B48" s="10" t="s">
        <v>44</v>
      </c>
      <c r="C48" s="2" t="s">
        <v>648</v>
      </c>
      <c r="D48" s="2" t="s">
        <v>233</v>
      </c>
      <c r="E48" s="2" t="s">
        <v>534</v>
      </c>
      <c r="F48" s="2" t="s">
        <v>620</v>
      </c>
      <c r="G48" s="10" t="s">
        <v>236</v>
      </c>
      <c r="H48" s="2" t="s">
        <v>649</v>
      </c>
      <c r="I48" s="2" t="s">
        <v>543</v>
      </c>
      <c r="J48" s="2" t="s">
        <v>650</v>
      </c>
      <c r="K48" s="2"/>
      <c r="L48" s="10" t="s">
        <v>240</v>
      </c>
      <c r="M48" s="2"/>
      <c r="N48" s="2"/>
    </row>
    <row r="49" spans="1:14" ht="38.25" x14ac:dyDescent="0.25">
      <c r="A49" s="9" t="s">
        <v>284</v>
      </c>
      <c r="B49" s="10" t="s">
        <v>21</v>
      </c>
      <c r="C49" s="2" t="s">
        <v>285</v>
      </c>
      <c r="D49" s="2" t="s">
        <v>71</v>
      </c>
      <c r="E49" s="2" t="s">
        <v>286</v>
      </c>
      <c r="F49" s="2" t="s">
        <v>287</v>
      </c>
      <c r="G49" s="10" t="s">
        <v>288</v>
      </c>
      <c r="H49" s="2" t="s">
        <v>289</v>
      </c>
      <c r="I49" s="2" t="s">
        <v>290</v>
      </c>
      <c r="J49" s="2" t="s">
        <v>291</v>
      </c>
      <c r="K49" s="2"/>
      <c r="L49" s="10" t="s">
        <v>240</v>
      </c>
      <c r="M49" s="2"/>
      <c r="N49" s="2" t="s">
        <v>292</v>
      </c>
    </row>
    <row r="50" spans="1:14" ht="38.25" x14ac:dyDescent="0.25">
      <c r="A50" s="9" t="s">
        <v>301</v>
      </c>
      <c r="B50" s="10" t="s">
        <v>21</v>
      </c>
      <c r="C50" s="2" t="s">
        <v>302</v>
      </c>
      <c r="D50" s="2" t="s">
        <v>250</v>
      </c>
      <c r="E50" s="2" t="s">
        <v>303</v>
      </c>
      <c r="F50" s="2" t="s">
        <v>304</v>
      </c>
      <c r="G50" s="10" t="s">
        <v>288</v>
      </c>
      <c r="H50" s="2" t="s">
        <v>305</v>
      </c>
      <c r="I50" s="2" t="s">
        <v>306</v>
      </c>
      <c r="J50" s="2" t="s">
        <v>307</v>
      </c>
      <c r="K50" s="2"/>
      <c r="L50" s="10" t="s">
        <v>240</v>
      </c>
      <c r="M50" s="2"/>
      <c r="N50" s="2" t="s">
        <v>308</v>
      </c>
    </row>
    <row r="51" spans="1:14" ht="38.25" x14ac:dyDescent="0.25">
      <c r="A51" s="9" t="s">
        <v>381</v>
      </c>
      <c r="B51" s="10" t="s">
        <v>26</v>
      </c>
      <c r="C51" s="2" t="s">
        <v>382</v>
      </c>
      <c r="D51" s="2" t="s">
        <v>250</v>
      </c>
      <c r="E51" s="2" t="s">
        <v>383</v>
      </c>
      <c r="F51" s="2" t="s">
        <v>384</v>
      </c>
      <c r="G51" s="10" t="s">
        <v>288</v>
      </c>
      <c r="H51" s="2" t="s">
        <v>320</v>
      </c>
      <c r="I51" s="2" t="s">
        <v>385</v>
      </c>
      <c r="J51" s="2" t="s">
        <v>386</v>
      </c>
      <c r="K51" s="2"/>
      <c r="L51" s="10" t="s">
        <v>240</v>
      </c>
      <c r="M51" s="2"/>
      <c r="N51" s="2"/>
    </row>
    <row r="52" spans="1:14" ht="25.5" x14ac:dyDescent="0.25">
      <c r="A52" s="9" t="s">
        <v>539</v>
      </c>
      <c r="B52" s="10" t="s">
        <v>35</v>
      </c>
      <c r="C52" s="2" t="s">
        <v>540</v>
      </c>
      <c r="D52" s="2" t="s">
        <v>71</v>
      </c>
      <c r="E52" s="2" t="s">
        <v>534</v>
      </c>
      <c r="F52" s="2" t="s">
        <v>541</v>
      </c>
      <c r="G52" s="10" t="s">
        <v>288</v>
      </c>
      <c r="H52" s="2" t="s">
        <v>542</v>
      </c>
      <c r="I52" s="2" t="s">
        <v>543</v>
      </c>
      <c r="J52" s="2" t="s">
        <v>544</v>
      </c>
      <c r="K52" s="2"/>
      <c r="L52" s="10" t="s">
        <v>240</v>
      </c>
      <c r="M52" s="2"/>
      <c r="N52" s="2"/>
    </row>
    <row r="53" spans="1:14" ht="25.5" x14ac:dyDescent="0.25">
      <c r="A53" s="9" t="s">
        <v>641</v>
      </c>
      <c r="B53" s="10" t="s">
        <v>44</v>
      </c>
      <c r="C53" s="2" t="s">
        <v>642</v>
      </c>
      <c r="D53" s="2" t="s">
        <v>271</v>
      </c>
      <c r="E53" s="2" t="s">
        <v>597</v>
      </c>
      <c r="F53" s="2" t="s">
        <v>643</v>
      </c>
      <c r="G53" s="10" t="s">
        <v>288</v>
      </c>
      <c r="H53" s="2" t="s">
        <v>644</v>
      </c>
      <c r="I53" s="2" t="s">
        <v>645</v>
      </c>
      <c r="J53" s="2" t="s">
        <v>646</v>
      </c>
      <c r="K53" s="2"/>
      <c r="L53" s="10" t="s">
        <v>240</v>
      </c>
      <c r="M53" s="2"/>
      <c r="N53" s="2"/>
    </row>
    <row r="54" spans="1:14" ht="38.25" x14ac:dyDescent="0.25">
      <c r="A54" s="9" t="s">
        <v>256</v>
      </c>
      <c r="B54" s="10" t="s">
        <v>21</v>
      </c>
      <c r="C54" s="2" t="s">
        <v>257</v>
      </c>
      <c r="D54" s="2" t="s">
        <v>250</v>
      </c>
      <c r="E54" s="2" t="s">
        <v>258</v>
      </c>
      <c r="F54" s="2" t="s">
        <v>252</v>
      </c>
      <c r="G54" s="10" t="s">
        <v>259</v>
      </c>
      <c r="H54" s="2" t="s">
        <v>244</v>
      </c>
      <c r="I54" s="2" t="s">
        <v>260</v>
      </c>
      <c r="J54" s="2" t="s">
        <v>261</v>
      </c>
      <c r="K54" s="2"/>
      <c r="L54" s="10" t="s">
        <v>240</v>
      </c>
      <c r="M54" s="2"/>
      <c r="N54" s="2"/>
    </row>
    <row r="55" spans="1:14" ht="38.25" x14ac:dyDescent="0.25">
      <c r="A55" s="9" t="s">
        <v>309</v>
      </c>
      <c r="B55" s="10" t="s">
        <v>21</v>
      </c>
      <c r="C55" s="2" t="s">
        <v>310</v>
      </c>
      <c r="D55" s="2" t="s">
        <v>250</v>
      </c>
      <c r="E55" s="2" t="s">
        <v>311</v>
      </c>
      <c r="F55" s="2" t="s">
        <v>312</v>
      </c>
      <c r="G55" s="10" t="s">
        <v>259</v>
      </c>
      <c r="H55" s="2" t="s">
        <v>313</v>
      </c>
      <c r="I55" s="2" t="s">
        <v>314</v>
      </c>
      <c r="J55" s="2" t="s">
        <v>315</v>
      </c>
      <c r="K55" s="2"/>
      <c r="L55" s="10" t="s">
        <v>240</v>
      </c>
      <c r="M55" s="2"/>
      <c r="N55" s="2" t="s">
        <v>316</v>
      </c>
    </row>
    <row r="56" spans="1:14" ht="51" x14ac:dyDescent="0.25">
      <c r="A56" s="9" t="s">
        <v>365</v>
      </c>
      <c r="B56" s="10" t="s">
        <v>26</v>
      </c>
      <c r="C56" s="2" t="s">
        <v>366</v>
      </c>
      <c r="D56" s="2" t="s">
        <v>71</v>
      </c>
      <c r="E56" s="2" t="s">
        <v>367</v>
      </c>
      <c r="F56" s="2" t="s">
        <v>368</v>
      </c>
      <c r="G56" s="10" t="s">
        <v>259</v>
      </c>
      <c r="H56" s="2" t="s">
        <v>369</v>
      </c>
      <c r="I56" s="2" t="s">
        <v>370</v>
      </c>
      <c r="J56" s="2" t="s">
        <v>371</v>
      </c>
      <c r="K56" s="2"/>
      <c r="L56" s="10" t="s">
        <v>240</v>
      </c>
      <c r="M56" s="2"/>
      <c r="N56" s="2" t="s">
        <v>372</v>
      </c>
    </row>
    <row r="57" spans="1:14" ht="102" x14ac:dyDescent="0.25">
      <c r="A57" s="9" t="s">
        <v>430</v>
      </c>
      <c r="B57" s="10" t="s">
        <v>30</v>
      </c>
      <c r="C57" s="2" t="s">
        <v>431</v>
      </c>
      <c r="D57" s="2" t="s">
        <v>71</v>
      </c>
      <c r="E57" s="2" t="s">
        <v>424</v>
      </c>
      <c r="F57" s="2" t="s">
        <v>406</v>
      </c>
      <c r="G57" s="10" t="s">
        <v>259</v>
      </c>
      <c r="H57" s="2" t="s">
        <v>426</v>
      </c>
      <c r="I57" s="2" t="s">
        <v>432</v>
      </c>
      <c r="J57" s="2" t="s">
        <v>433</v>
      </c>
      <c r="K57" s="2"/>
      <c r="L57" s="10" t="s">
        <v>240</v>
      </c>
      <c r="M57" s="2"/>
      <c r="N57" s="2"/>
    </row>
    <row r="58" spans="1:14" ht="76.5" x14ac:dyDescent="0.25">
      <c r="A58" s="9" t="s">
        <v>434</v>
      </c>
      <c r="B58" s="10" t="s">
        <v>30</v>
      </c>
      <c r="C58" s="2" t="s">
        <v>435</v>
      </c>
      <c r="D58" s="2" t="s">
        <v>71</v>
      </c>
      <c r="E58" s="2" t="s">
        <v>424</v>
      </c>
      <c r="F58" s="2" t="s">
        <v>406</v>
      </c>
      <c r="G58" s="10" t="s">
        <v>259</v>
      </c>
      <c r="H58" s="2" t="s">
        <v>436</v>
      </c>
      <c r="I58" s="2" t="s">
        <v>437</v>
      </c>
      <c r="J58" s="2" t="s">
        <v>438</v>
      </c>
      <c r="K58" s="2"/>
      <c r="L58" s="10" t="s">
        <v>240</v>
      </c>
      <c r="M58" s="2"/>
      <c r="N58" s="2"/>
    </row>
    <row r="59" spans="1:14" ht="102" x14ac:dyDescent="0.25">
      <c r="A59" s="9" t="s">
        <v>439</v>
      </c>
      <c r="B59" s="10" t="s">
        <v>30</v>
      </c>
      <c r="C59" s="2" t="s">
        <v>440</v>
      </c>
      <c r="D59" s="2" t="s">
        <v>71</v>
      </c>
      <c r="E59" s="2" t="s">
        <v>353</v>
      </c>
      <c r="F59" s="2" t="s">
        <v>441</v>
      </c>
      <c r="G59" s="10" t="s">
        <v>259</v>
      </c>
      <c r="H59" s="2" t="s">
        <v>442</v>
      </c>
      <c r="I59" s="2" t="s">
        <v>443</v>
      </c>
      <c r="J59" s="2" t="s">
        <v>444</v>
      </c>
      <c r="K59" s="2"/>
      <c r="L59" s="10" t="s">
        <v>240</v>
      </c>
      <c r="M59" s="2"/>
      <c r="N59" s="2"/>
    </row>
    <row r="60" spans="1:14" ht="51" x14ac:dyDescent="0.25">
      <c r="A60" s="9" t="s">
        <v>445</v>
      </c>
      <c r="B60" s="10" t="s">
        <v>30</v>
      </c>
      <c r="C60" s="2" t="s">
        <v>446</v>
      </c>
      <c r="D60" s="2" t="s">
        <v>71</v>
      </c>
      <c r="E60" s="2" t="s">
        <v>447</v>
      </c>
      <c r="F60" s="2" t="s">
        <v>448</v>
      </c>
      <c r="G60" s="10" t="s">
        <v>259</v>
      </c>
      <c r="H60" s="2" t="s">
        <v>449</v>
      </c>
      <c r="I60" s="2" t="s">
        <v>450</v>
      </c>
      <c r="J60" s="2" t="s">
        <v>451</v>
      </c>
      <c r="K60" s="2"/>
      <c r="L60" s="10" t="s">
        <v>240</v>
      </c>
      <c r="M60" s="2"/>
      <c r="N60" s="2"/>
    </row>
    <row r="61" spans="1:14" ht="89.25" x14ac:dyDescent="0.25">
      <c r="A61" s="9" t="s">
        <v>452</v>
      </c>
      <c r="B61" s="10" t="s">
        <v>30</v>
      </c>
      <c r="C61" s="2" t="s">
        <v>453</v>
      </c>
      <c r="D61" s="2" t="s">
        <v>250</v>
      </c>
      <c r="E61" s="2" t="s">
        <v>454</v>
      </c>
      <c r="F61" s="2" t="s">
        <v>455</v>
      </c>
      <c r="G61" s="10" t="s">
        <v>259</v>
      </c>
      <c r="H61" s="2" t="s">
        <v>396</v>
      </c>
      <c r="I61" s="2" t="s">
        <v>456</v>
      </c>
      <c r="J61" s="2" t="s">
        <v>457</v>
      </c>
      <c r="K61" s="2"/>
      <c r="L61" s="10" t="s">
        <v>240</v>
      </c>
      <c r="M61" s="2"/>
      <c r="N61" s="2"/>
    </row>
    <row r="62" spans="1:14" ht="51" x14ac:dyDescent="0.25">
      <c r="A62" s="9" t="s">
        <v>477</v>
      </c>
      <c r="B62" s="10" t="s">
        <v>32</v>
      </c>
      <c r="C62" s="2" t="s">
        <v>478</v>
      </c>
      <c r="D62" s="2" t="s">
        <v>250</v>
      </c>
      <c r="E62" s="2" t="s">
        <v>479</v>
      </c>
      <c r="F62" s="2" t="s">
        <v>480</v>
      </c>
      <c r="G62" s="10" t="s">
        <v>259</v>
      </c>
      <c r="H62" s="2" t="s">
        <v>461</v>
      </c>
      <c r="I62" s="2" t="s">
        <v>481</v>
      </c>
      <c r="J62" s="2" t="s">
        <v>482</v>
      </c>
      <c r="K62" s="2"/>
      <c r="L62" s="10" t="s">
        <v>240</v>
      </c>
      <c r="M62" s="2"/>
      <c r="N62" s="2" t="s">
        <v>483</v>
      </c>
    </row>
    <row r="63" spans="1:14" ht="51" x14ac:dyDescent="0.25">
      <c r="A63" s="9" t="s">
        <v>484</v>
      </c>
      <c r="B63" s="10" t="s">
        <v>32</v>
      </c>
      <c r="C63" s="2" t="s">
        <v>485</v>
      </c>
      <c r="D63" s="2" t="s">
        <v>250</v>
      </c>
      <c r="E63" s="2" t="s">
        <v>486</v>
      </c>
      <c r="F63" s="2" t="s">
        <v>487</v>
      </c>
      <c r="G63" s="10" t="s">
        <v>259</v>
      </c>
      <c r="H63" s="2" t="s">
        <v>461</v>
      </c>
      <c r="I63" s="2" t="s">
        <v>488</v>
      </c>
      <c r="J63" s="2" t="s">
        <v>489</v>
      </c>
      <c r="K63" s="2"/>
      <c r="L63" s="10" t="s">
        <v>240</v>
      </c>
      <c r="M63" s="2"/>
      <c r="N63" s="2"/>
    </row>
    <row r="64" spans="1:14" ht="63.75" x14ac:dyDescent="0.25">
      <c r="A64" s="9" t="s">
        <v>524</v>
      </c>
      <c r="B64" s="10" t="s">
        <v>32</v>
      </c>
      <c r="C64" s="2" t="s">
        <v>525</v>
      </c>
      <c r="D64" s="2" t="s">
        <v>526</v>
      </c>
      <c r="E64" s="2" t="s">
        <v>527</v>
      </c>
      <c r="F64" s="2" t="s">
        <v>528</v>
      </c>
      <c r="G64" s="10" t="s">
        <v>259</v>
      </c>
      <c r="H64" s="2" t="s">
        <v>461</v>
      </c>
      <c r="I64" s="2" t="s">
        <v>529</v>
      </c>
      <c r="J64" s="2" t="s">
        <v>530</v>
      </c>
      <c r="K64" s="2"/>
      <c r="L64" s="10" t="s">
        <v>240</v>
      </c>
      <c r="M64" s="2"/>
      <c r="N64" s="2" t="s">
        <v>531</v>
      </c>
    </row>
    <row r="65" spans="1:14" ht="25.5" x14ac:dyDescent="0.25">
      <c r="A65" s="9" t="s">
        <v>545</v>
      </c>
      <c r="B65" s="10" t="s">
        <v>35</v>
      </c>
      <c r="C65" s="2" t="s">
        <v>546</v>
      </c>
      <c r="D65" s="2" t="s">
        <v>233</v>
      </c>
      <c r="E65" s="2" t="s">
        <v>534</v>
      </c>
      <c r="F65" s="2" t="s">
        <v>535</v>
      </c>
      <c r="G65" s="10" t="s">
        <v>259</v>
      </c>
      <c r="H65" s="2" t="s">
        <v>547</v>
      </c>
      <c r="I65" s="2" t="s">
        <v>548</v>
      </c>
      <c r="J65" s="2" t="s">
        <v>549</v>
      </c>
      <c r="K65" s="2"/>
      <c r="L65" s="10" t="s">
        <v>240</v>
      </c>
      <c r="M65" s="2"/>
      <c r="N65" s="2"/>
    </row>
    <row r="66" spans="1:14" x14ac:dyDescent="0.25">
      <c r="A66" s="9" t="s">
        <v>581</v>
      </c>
      <c r="B66" s="10" t="s">
        <v>40</v>
      </c>
      <c r="C66" s="2" t="s">
        <v>582</v>
      </c>
      <c r="D66" s="2" t="s">
        <v>250</v>
      </c>
      <c r="E66" s="2" t="s">
        <v>534</v>
      </c>
      <c r="F66" s="2" t="s">
        <v>573</v>
      </c>
      <c r="G66" s="10" t="s">
        <v>259</v>
      </c>
      <c r="H66" s="2" t="s">
        <v>583</v>
      </c>
      <c r="I66" s="2" t="s">
        <v>543</v>
      </c>
      <c r="J66" s="2" t="s">
        <v>584</v>
      </c>
      <c r="K66" s="2"/>
      <c r="L66" s="10" t="s">
        <v>240</v>
      </c>
      <c r="M66" s="2"/>
      <c r="N66" s="2"/>
    </row>
    <row r="67" spans="1:14" ht="25.5" x14ac:dyDescent="0.25">
      <c r="A67" s="9" t="s">
        <v>585</v>
      </c>
      <c r="B67" s="10" t="s">
        <v>40</v>
      </c>
      <c r="C67" s="2" t="s">
        <v>586</v>
      </c>
      <c r="D67" s="2" t="s">
        <v>71</v>
      </c>
      <c r="E67" s="2" t="s">
        <v>534</v>
      </c>
      <c r="F67" s="2" t="s">
        <v>587</v>
      </c>
      <c r="G67" s="10" t="s">
        <v>259</v>
      </c>
      <c r="H67" s="2" t="s">
        <v>588</v>
      </c>
      <c r="I67" s="2" t="s">
        <v>543</v>
      </c>
      <c r="J67" s="2" t="s">
        <v>589</v>
      </c>
      <c r="K67" s="2"/>
      <c r="L67" s="10" t="s">
        <v>240</v>
      </c>
      <c r="M67" s="2"/>
      <c r="N67" s="2"/>
    </row>
    <row r="68" spans="1:14" ht="25.5" x14ac:dyDescent="0.25">
      <c r="A68" s="9" t="s">
        <v>606</v>
      </c>
      <c r="B68" s="10" t="s">
        <v>42</v>
      </c>
      <c r="C68" s="2" t="s">
        <v>607</v>
      </c>
      <c r="D68" s="2" t="s">
        <v>250</v>
      </c>
      <c r="E68" s="2" t="s">
        <v>608</v>
      </c>
      <c r="F68" s="2" t="s">
        <v>603</v>
      </c>
      <c r="G68" s="10" t="s">
        <v>259</v>
      </c>
      <c r="H68" s="2" t="s">
        <v>536</v>
      </c>
      <c r="I68" s="2" t="s">
        <v>609</v>
      </c>
      <c r="J68" s="2" t="s">
        <v>610</v>
      </c>
      <c r="K68" s="2"/>
      <c r="L68" s="10" t="s">
        <v>240</v>
      </c>
      <c r="M68" s="2"/>
      <c r="N68" s="2"/>
    </row>
    <row r="69" spans="1:14" ht="25.5" x14ac:dyDescent="0.25">
      <c r="A69" s="9" t="s">
        <v>635</v>
      </c>
      <c r="B69" s="10" t="s">
        <v>44</v>
      </c>
      <c r="C69" s="2" t="s">
        <v>636</v>
      </c>
      <c r="D69" s="2" t="s">
        <v>71</v>
      </c>
      <c r="E69" s="2" t="s">
        <v>534</v>
      </c>
      <c r="F69" s="2" t="s">
        <v>637</v>
      </c>
      <c r="G69" s="10" t="s">
        <v>259</v>
      </c>
      <c r="H69" s="2" t="s">
        <v>638</v>
      </c>
      <c r="I69" s="2" t="s">
        <v>639</v>
      </c>
      <c r="J69" s="2" t="s">
        <v>640</v>
      </c>
      <c r="K69" s="2"/>
      <c r="L69" s="10" t="s">
        <v>240</v>
      </c>
      <c r="M69" s="2"/>
      <c r="N69" s="2"/>
    </row>
  </sheetData>
  <autoFilter ref="A1:N69" xr:uid="{00000000-0009-0000-0000-000003000000}">
    <sortState xmlns:xlrd2="http://schemas.microsoft.com/office/spreadsheetml/2017/richdata2" ref="A2:N69">
      <sortCondition ref="G1:G69"/>
    </sortState>
  </autoFilter>
  <conditionalFormatting sqref="L2:L399">
    <cfRule type="cellIs" dxfId="2" priority="2" operator="equal">
      <formula>"PASS"</formula>
    </cfRule>
    <cfRule type="cellIs" dxfId="1" priority="3" operator="equal">
      <formula>"FAIL"</formula>
    </cfRule>
    <cfRule type="cellIs" dxfId="0" priority="4" operator="equal">
      <formula>"Chưa chạy"</formula>
    </cfRule>
  </conditionalFormatting>
  <dataValidations count="3">
    <dataValidation type="list" allowBlank="1" sqref="D2:D399" xr:uid="{00000000-0002-0000-0300-000000000000}">
      <formula1>"Happy path,Negative,Boundary,Alternative flow,Phi chức năng"</formula1>
      <formula2>0</formula2>
    </dataValidation>
    <dataValidation type="list" allowBlank="1" sqref="G2:G399" xr:uid="{00000000-0002-0000-0300-000001000000}">
      <formula1>"Cao,Trung,Thấp"</formula1>
      <formula2>0</formula2>
    </dataValidation>
    <dataValidation type="list" allowBlank="1" sqref="L2:L399" xr:uid="{00000000-0002-0000-0300-000002000000}">
      <formula1>"Chưa chạy,PASS,FAIL"</formula1>
      <formula2>0</formula2>
    </dataValidation>
  </dataValidations>
  <hyperlinks>
    <hyperlink ref="M2" r:id="rId1" xr:uid="{50F66AAF-B0D6-4015-AE81-202020A4C517}"/>
    <hyperlink ref="M3" r:id="rId2" xr:uid="{A82CC3A9-D097-4E0D-BC9C-E140A8961EB2}"/>
    <hyperlink ref="M4" r:id="rId3" xr:uid="{08D47271-6BFF-47CF-A4E0-50C3B7CBE0C6}"/>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7"/>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x14ac:dyDescent="0.25">
      <c r="A1" s="4" t="s">
        <v>651</v>
      </c>
    </row>
    <row r="2" spans="1:10" ht="31.5" customHeight="1" x14ac:dyDescent="0.25">
      <c r="A2" s="8" t="s">
        <v>652</v>
      </c>
      <c r="B2" s="8" t="s">
        <v>653</v>
      </c>
      <c r="C2" s="8" t="s">
        <v>654</v>
      </c>
      <c r="D2" s="8" t="s">
        <v>655</v>
      </c>
      <c r="E2" s="8" t="s">
        <v>656</v>
      </c>
      <c r="F2" s="8" t="s">
        <v>657</v>
      </c>
      <c r="G2" s="8" t="s">
        <v>658</v>
      </c>
      <c r="H2" s="12" t="s">
        <v>659</v>
      </c>
      <c r="I2" s="12" t="s">
        <v>660</v>
      </c>
      <c r="J2" s="12" t="s">
        <v>661</v>
      </c>
    </row>
    <row r="3" spans="1:10" ht="51" x14ac:dyDescent="0.25">
      <c r="A3" s="13" t="s">
        <v>662</v>
      </c>
      <c r="B3" s="13" t="s">
        <v>351</v>
      </c>
      <c r="C3" s="14" t="s">
        <v>663</v>
      </c>
      <c r="D3" s="14" t="s">
        <v>664</v>
      </c>
      <c r="E3" s="14" t="s">
        <v>665</v>
      </c>
      <c r="F3" s="14" t="s">
        <v>666</v>
      </c>
      <c r="G3" s="13" t="s">
        <v>667</v>
      </c>
      <c r="H3" s="13" t="s">
        <v>29</v>
      </c>
      <c r="I3" s="13" t="s">
        <v>668</v>
      </c>
      <c r="J3" s="14"/>
    </row>
    <row r="4" spans="1:10" x14ac:dyDescent="0.25">
      <c r="A4" s="2"/>
      <c r="B4" s="2"/>
      <c r="C4" s="2"/>
      <c r="D4" s="2"/>
      <c r="E4" s="2"/>
      <c r="F4" s="2"/>
      <c r="G4" s="2"/>
      <c r="H4" s="2"/>
      <c r="I4" s="2"/>
      <c r="J4" s="2"/>
    </row>
    <row r="5" spans="1:10" x14ac:dyDescent="0.25">
      <c r="A5" s="2"/>
      <c r="B5" s="2"/>
      <c r="C5" s="2"/>
      <c r="D5" s="2"/>
      <c r="E5" s="2"/>
      <c r="F5" s="2"/>
      <c r="G5" s="2"/>
      <c r="H5" s="2"/>
      <c r="I5" s="2"/>
      <c r="J5" s="2"/>
    </row>
    <row r="6" spans="1:10" x14ac:dyDescent="0.25">
      <c r="A6" s="2"/>
      <c r="B6" s="2"/>
      <c r="C6" s="2"/>
      <c r="D6" s="2"/>
      <c r="E6" s="2"/>
      <c r="F6" s="2"/>
      <c r="G6" s="2"/>
      <c r="H6" s="2"/>
      <c r="I6" s="2"/>
      <c r="J6" s="2"/>
    </row>
    <row r="7" spans="1:10" x14ac:dyDescent="0.25">
      <c r="A7" s="2"/>
      <c r="B7" s="2"/>
      <c r="C7" s="2"/>
      <c r="D7" s="2"/>
      <c r="E7" s="2"/>
      <c r="F7" s="2"/>
      <c r="G7" s="2"/>
      <c r="H7" s="2"/>
      <c r="I7" s="2"/>
      <c r="J7" s="2"/>
    </row>
  </sheetData>
  <dataValidations count="2">
    <dataValidation type="list" allowBlank="1" sqref="G3:G300" xr:uid="{00000000-0002-0000-0400-000000000000}">
      <formula1>"Critical,High,Medium,Low"</formula1>
      <formula2>0</formula2>
    </dataValidation>
    <dataValidation type="list" allowBlank="1" sqref="I3:I300"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6"/>
  <sheetViews>
    <sheetView showGridLines="0" zoomScale="90" zoomScaleNormal="90" workbookViewId="0"/>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3" t="s">
        <v>669</v>
      </c>
    </row>
    <row r="2" spans="1:10" x14ac:dyDescent="0.25">
      <c r="A2" s="4" t="s">
        <v>670</v>
      </c>
    </row>
    <row r="4" spans="1:10" ht="31.5" customHeight="1" x14ac:dyDescent="0.25">
      <c r="A4" s="8" t="s">
        <v>14</v>
      </c>
      <c r="B4" s="8" t="s">
        <v>15</v>
      </c>
      <c r="C4" s="8" t="s">
        <v>671</v>
      </c>
      <c r="D4" s="8" t="s">
        <v>672</v>
      </c>
      <c r="E4" s="8" t="s">
        <v>673</v>
      </c>
      <c r="F4" s="8" t="s">
        <v>674</v>
      </c>
      <c r="G4" s="8" t="s">
        <v>675</v>
      </c>
      <c r="H4" s="8" t="s">
        <v>240</v>
      </c>
      <c r="I4" s="8" t="s">
        <v>676</v>
      </c>
      <c r="J4" s="8" t="s">
        <v>677</v>
      </c>
    </row>
    <row r="5" spans="1:10" x14ac:dyDescent="0.25">
      <c r="A5" s="9" t="s">
        <v>21</v>
      </c>
      <c r="B5" s="2" t="s">
        <v>22</v>
      </c>
      <c r="C5" s="10" t="s">
        <v>25</v>
      </c>
      <c r="D5" s="10">
        <f>COUNTIF('Test Case'!$B:$B,$A5)</f>
        <v>11</v>
      </c>
      <c r="E5" s="10">
        <f t="shared" ref="E5:E12" si="0">F5+G5</f>
        <v>3</v>
      </c>
      <c r="F5" s="10">
        <f>COUNTIFS('Test Case'!$B:$B,$A5,'Test Case'!$L:$L,"PASS")</f>
        <v>3</v>
      </c>
      <c r="G5" s="10">
        <f>COUNTIFS('Test Case'!$B:$B,$A5,'Test Case'!$L:$L,"FAIL")</f>
        <v>0</v>
      </c>
      <c r="H5" s="10">
        <f t="shared" ref="H5:H12" si="1">D5-E5</f>
        <v>8</v>
      </c>
      <c r="I5" s="15">
        <f t="shared" ref="I5:I13" si="2">IF(E5=0,"-",F5/E5)</f>
        <v>1</v>
      </c>
      <c r="J5" s="10">
        <f>COUNTIFS('Bug Report'!$A:$A,"BUG-N5-*",'Bug Report'!$B:$B,"TC-"&amp;RIGHT($A5,2)&amp;"-*")</f>
        <v>0</v>
      </c>
    </row>
    <row r="6" spans="1:10" x14ac:dyDescent="0.25">
      <c r="A6" s="9" t="s">
        <v>26</v>
      </c>
      <c r="B6" s="2" t="s">
        <v>27</v>
      </c>
      <c r="C6" s="10" t="s">
        <v>25</v>
      </c>
      <c r="D6" s="10">
        <f>COUNTIF('Test Case'!$B:$B,$A6)</f>
        <v>11</v>
      </c>
      <c r="E6" s="10">
        <f t="shared" si="0"/>
        <v>0</v>
      </c>
      <c r="F6" s="10">
        <f>COUNTIFS('Test Case'!$B:$B,$A6,'Test Case'!$L:$L,"PASS")</f>
        <v>0</v>
      </c>
      <c r="G6" s="10">
        <f>COUNTIFS('Test Case'!$B:$B,$A6,'Test Case'!$L:$L,"FAIL")</f>
        <v>0</v>
      </c>
      <c r="H6" s="10">
        <f t="shared" si="1"/>
        <v>11</v>
      </c>
      <c r="I6" s="15" t="str">
        <f t="shared" si="2"/>
        <v>-</v>
      </c>
      <c r="J6" s="10">
        <f>COUNTIFS('Bug Report'!$A:$A,"BUG-N5-*",'Bug Report'!$B:$B,"TC-"&amp;RIGHT($A6,2)&amp;"-*")</f>
        <v>0</v>
      </c>
    </row>
    <row r="7" spans="1:10" x14ac:dyDescent="0.25">
      <c r="A7" s="9" t="s">
        <v>30</v>
      </c>
      <c r="B7" s="2" t="s">
        <v>31</v>
      </c>
      <c r="C7" s="10" t="s">
        <v>25</v>
      </c>
      <c r="D7" s="10">
        <f>COUNTIF('Test Case'!$B:$B,$A7)</f>
        <v>13</v>
      </c>
      <c r="E7" s="10">
        <f t="shared" si="0"/>
        <v>0</v>
      </c>
      <c r="F7" s="10">
        <f>COUNTIFS('Test Case'!$B:$B,$A7,'Test Case'!$L:$L,"PASS")</f>
        <v>0</v>
      </c>
      <c r="G7" s="10">
        <f>COUNTIFS('Test Case'!$B:$B,$A7,'Test Case'!$L:$L,"FAIL")</f>
        <v>0</v>
      </c>
      <c r="H7" s="10">
        <f t="shared" si="1"/>
        <v>13</v>
      </c>
      <c r="I7" s="15" t="str">
        <f t="shared" si="2"/>
        <v>-</v>
      </c>
      <c r="J7" s="10">
        <f>COUNTIFS('Bug Report'!$A:$A,"BUG-N5-*",'Bug Report'!$B:$B,"TC-"&amp;RIGHT($A7,2)&amp;"-*")</f>
        <v>0</v>
      </c>
    </row>
    <row r="8" spans="1:10" ht="25.5" x14ac:dyDescent="0.25">
      <c r="A8" s="9" t="s">
        <v>32</v>
      </c>
      <c r="B8" s="2" t="s">
        <v>33</v>
      </c>
      <c r="C8" s="10" t="s">
        <v>25</v>
      </c>
      <c r="D8" s="10">
        <f>COUNTIF('Test Case'!$B:$B,$A8)</f>
        <v>11</v>
      </c>
      <c r="E8" s="10">
        <f t="shared" si="0"/>
        <v>0</v>
      </c>
      <c r="F8" s="10">
        <f>COUNTIFS('Test Case'!$B:$B,$A8,'Test Case'!$L:$L,"PASS")</f>
        <v>0</v>
      </c>
      <c r="G8" s="10">
        <f>COUNTIFS('Test Case'!$B:$B,$A8,'Test Case'!$L:$L,"FAIL")</f>
        <v>0</v>
      </c>
      <c r="H8" s="10">
        <f t="shared" si="1"/>
        <v>11</v>
      </c>
      <c r="I8" s="15" t="str">
        <f t="shared" si="2"/>
        <v>-</v>
      </c>
      <c r="J8" s="10">
        <f>COUNTIFS('Bug Report'!$A:$A,"BUG-N5-*",'Bug Report'!$B:$B,"TC-"&amp;RIGHT($A8,2)&amp;"-*")</f>
        <v>0</v>
      </c>
    </row>
    <row r="9" spans="1:10" x14ac:dyDescent="0.25">
      <c r="A9" s="9" t="s">
        <v>35</v>
      </c>
      <c r="B9" s="2" t="s">
        <v>36</v>
      </c>
      <c r="C9" s="10" t="s">
        <v>39</v>
      </c>
      <c r="D9" s="10">
        <f>COUNTIF('Test Case'!$B:$B,$A9)</f>
        <v>5</v>
      </c>
      <c r="E9" s="10">
        <f t="shared" si="0"/>
        <v>0</v>
      </c>
      <c r="F9" s="10">
        <f>COUNTIFS('Test Case'!$B:$B,$A9,'Test Case'!$L:$L,"PASS")</f>
        <v>0</v>
      </c>
      <c r="G9" s="10">
        <f>COUNTIFS('Test Case'!$B:$B,$A9,'Test Case'!$L:$L,"FAIL")</f>
        <v>0</v>
      </c>
      <c r="H9" s="10">
        <f t="shared" si="1"/>
        <v>5</v>
      </c>
      <c r="I9" s="15" t="str">
        <f t="shared" si="2"/>
        <v>-</v>
      </c>
      <c r="J9" s="10">
        <f>COUNTIFS('Bug Report'!$A:$A,"BUG-N5-*",'Bug Report'!$B:$B,"TC-"&amp;RIGHT($A9,2)&amp;"-*")</f>
        <v>0</v>
      </c>
    </row>
    <row r="10" spans="1:10" x14ac:dyDescent="0.25">
      <c r="A10" s="9" t="s">
        <v>40</v>
      </c>
      <c r="B10" s="2" t="s">
        <v>41</v>
      </c>
      <c r="C10" s="10" t="s">
        <v>39</v>
      </c>
      <c r="D10" s="10">
        <f>COUNTIF('Test Case'!$B:$B,$A10)</f>
        <v>6</v>
      </c>
      <c r="E10" s="10">
        <f t="shared" si="0"/>
        <v>0</v>
      </c>
      <c r="F10" s="10">
        <f>COUNTIFS('Test Case'!$B:$B,$A10,'Test Case'!$L:$L,"PASS")</f>
        <v>0</v>
      </c>
      <c r="G10" s="10">
        <f>COUNTIFS('Test Case'!$B:$B,$A10,'Test Case'!$L:$L,"FAIL")</f>
        <v>0</v>
      </c>
      <c r="H10" s="10">
        <f t="shared" si="1"/>
        <v>6</v>
      </c>
      <c r="I10" s="15" t="str">
        <f t="shared" si="2"/>
        <v>-</v>
      </c>
      <c r="J10" s="10">
        <f>COUNTIFS('Bug Report'!$A:$A,"BUG-N5-*",'Bug Report'!$B:$B,"TC-"&amp;RIGHT($A10,2)&amp;"-*")</f>
        <v>0</v>
      </c>
    </row>
    <row r="11" spans="1:10" x14ac:dyDescent="0.25">
      <c r="A11" s="9" t="s">
        <v>42</v>
      </c>
      <c r="B11" s="2" t="s">
        <v>43</v>
      </c>
      <c r="C11" s="10" t="s">
        <v>39</v>
      </c>
      <c r="D11" s="10">
        <f>COUNTIF('Test Case'!$B:$B,$A11)</f>
        <v>5</v>
      </c>
      <c r="E11" s="10">
        <f t="shared" si="0"/>
        <v>0</v>
      </c>
      <c r="F11" s="10">
        <f>COUNTIFS('Test Case'!$B:$B,$A11,'Test Case'!$L:$L,"PASS")</f>
        <v>0</v>
      </c>
      <c r="G11" s="10">
        <f>COUNTIFS('Test Case'!$B:$B,$A11,'Test Case'!$L:$L,"FAIL")</f>
        <v>0</v>
      </c>
      <c r="H11" s="10">
        <f t="shared" si="1"/>
        <v>5</v>
      </c>
      <c r="I11" s="15" t="str">
        <f t="shared" si="2"/>
        <v>-</v>
      </c>
      <c r="J11" s="10">
        <f>COUNTIFS('Bug Report'!$A:$A,"BUG-N5-*",'Bug Report'!$B:$B,"TC-"&amp;RIGHT($A11,2)&amp;"-*")</f>
        <v>0</v>
      </c>
    </row>
    <row r="12" spans="1:10" x14ac:dyDescent="0.25">
      <c r="A12" s="9" t="s">
        <v>44</v>
      </c>
      <c r="B12" s="2" t="s">
        <v>45</v>
      </c>
      <c r="C12" s="10" t="s">
        <v>39</v>
      </c>
      <c r="D12" s="10">
        <f>COUNTIF('Test Case'!$B:$B,$A12)</f>
        <v>6</v>
      </c>
      <c r="E12" s="10">
        <f t="shared" si="0"/>
        <v>0</v>
      </c>
      <c r="F12" s="10">
        <f>COUNTIFS('Test Case'!$B:$B,$A12,'Test Case'!$L:$L,"PASS")</f>
        <v>0</v>
      </c>
      <c r="G12" s="10">
        <f>COUNTIFS('Test Case'!$B:$B,$A12,'Test Case'!$L:$L,"FAIL")</f>
        <v>0</v>
      </c>
      <c r="H12" s="10">
        <f t="shared" si="1"/>
        <v>6</v>
      </c>
      <c r="I12" s="15" t="str">
        <f t="shared" si="2"/>
        <v>-</v>
      </c>
      <c r="J12" s="10">
        <f>COUNTIFS('Bug Report'!$A:$A,"BUG-N5-*",'Bug Report'!$B:$B,"TC-"&amp;RIGHT($A12,2)&amp;"-*")</f>
        <v>0</v>
      </c>
    </row>
    <row r="13" spans="1:10" x14ac:dyDescent="0.25">
      <c r="A13" s="16" t="s">
        <v>678</v>
      </c>
      <c r="B13" s="7" t="s">
        <v>679</v>
      </c>
      <c r="C13" s="17"/>
      <c r="D13" s="16">
        <f>SUM(D5:D12)</f>
        <v>68</v>
      </c>
      <c r="E13" s="16">
        <f>SUM(E5:E12)</f>
        <v>3</v>
      </c>
      <c r="F13" s="16">
        <f>SUM(F5:F12)</f>
        <v>3</v>
      </c>
      <c r="G13" s="16">
        <f>SUM(G5:G12)</f>
        <v>0</v>
      </c>
      <c r="H13" s="16">
        <f>SUM(H5:H12)</f>
        <v>65</v>
      </c>
      <c r="I13" s="18">
        <f t="shared" si="2"/>
        <v>1</v>
      </c>
      <c r="J13" s="16">
        <f>SUM(J5:J12)</f>
        <v>0</v>
      </c>
    </row>
    <row r="15" spans="1:10" x14ac:dyDescent="0.25">
      <c r="A15" s="19" t="s">
        <v>680</v>
      </c>
    </row>
    <row r="16" spans="1:10" ht="31.5" customHeight="1" x14ac:dyDescent="0.25">
      <c r="A16" s="8" t="s">
        <v>220</v>
      </c>
      <c r="B16" s="8"/>
      <c r="C16" s="8"/>
      <c r="D16" s="8" t="s">
        <v>672</v>
      </c>
      <c r="E16" s="8" t="s">
        <v>674</v>
      </c>
      <c r="F16" s="8" t="s">
        <v>675</v>
      </c>
    </row>
    <row r="17" spans="1:10" x14ac:dyDescent="0.25">
      <c r="A17" s="11" t="s">
        <v>233</v>
      </c>
      <c r="B17" s="2"/>
      <c r="C17" s="2"/>
      <c r="D17" s="10">
        <f>COUNTIF('Test Case'!$D:$D,$A17)</f>
        <v>16</v>
      </c>
      <c r="E17" s="10">
        <f>COUNTIFS('Test Case'!$D:$D,$A17,'Test Case'!$L:$L,"PASS")</f>
        <v>2</v>
      </c>
      <c r="F17" s="10">
        <f>COUNTIFS('Test Case'!$D:$D,$A17,'Test Case'!$L:$L,"FAIL")</f>
        <v>0</v>
      </c>
    </row>
    <row r="18" spans="1:10" x14ac:dyDescent="0.25">
      <c r="A18" s="11" t="s">
        <v>250</v>
      </c>
      <c r="B18" s="2"/>
      <c r="C18" s="2"/>
      <c r="D18" s="10">
        <f>COUNTIF('Test Case'!$D:$D,$A18)</f>
        <v>20</v>
      </c>
      <c r="E18" s="10">
        <f>COUNTIFS('Test Case'!$D:$D,$A18,'Test Case'!$L:$L,"PASS")</f>
        <v>1</v>
      </c>
      <c r="F18" s="10">
        <f>COUNTIFS('Test Case'!$D:$D,$A18,'Test Case'!$L:$L,"FAIL")</f>
        <v>0</v>
      </c>
    </row>
    <row r="19" spans="1:10" x14ac:dyDescent="0.25">
      <c r="A19" s="11" t="s">
        <v>271</v>
      </c>
      <c r="B19" s="2"/>
      <c r="C19" s="2"/>
      <c r="D19" s="10">
        <f>COUNTIF('Test Case'!$D:$D,$A19)</f>
        <v>12</v>
      </c>
      <c r="E19" s="10">
        <f>COUNTIFS('Test Case'!$D:$D,$A19,'Test Case'!$L:$L,"PASS")</f>
        <v>0</v>
      </c>
      <c r="F19" s="10">
        <f>COUNTIFS('Test Case'!$D:$D,$A19,'Test Case'!$L:$L,"FAIL")</f>
        <v>0</v>
      </c>
    </row>
    <row r="20" spans="1:10" x14ac:dyDescent="0.25">
      <c r="A20" s="11" t="s">
        <v>71</v>
      </c>
      <c r="B20" s="2"/>
      <c r="C20" s="2"/>
      <c r="D20" s="10">
        <f>COUNTIF('Test Case'!$D:$D,$A20)</f>
        <v>19</v>
      </c>
      <c r="E20" s="10">
        <f>COUNTIFS('Test Case'!$D:$D,$A20,'Test Case'!$L:$L,"PASS")</f>
        <v>0</v>
      </c>
      <c r="F20" s="10">
        <f>COUNTIFS('Test Case'!$D:$D,$A20,'Test Case'!$L:$L,"FAIL")</f>
        <v>0</v>
      </c>
    </row>
    <row r="21" spans="1:10" x14ac:dyDescent="0.25">
      <c r="A21" s="11" t="s">
        <v>526</v>
      </c>
      <c r="B21" s="2"/>
      <c r="C21" s="2"/>
      <c r="D21" s="10">
        <f>COUNTIF('Test Case'!$D:$D,$A21)</f>
        <v>1</v>
      </c>
      <c r="E21" s="10">
        <f>COUNTIFS('Test Case'!$D:$D,$A21,'Test Case'!$L:$L,"PASS")</f>
        <v>0</v>
      </c>
      <c r="F21" s="10">
        <f>COUNTIFS('Test Case'!$D:$D,$A21,'Test Case'!$L:$L,"FAIL")</f>
        <v>0</v>
      </c>
    </row>
    <row r="24" spans="1:10" x14ac:dyDescent="0.25">
      <c r="A24" s="19" t="s">
        <v>681</v>
      </c>
    </row>
    <row r="25" spans="1:10" ht="31.5" customHeight="1" x14ac:dyDescent="0.25">
      <c r="A25" s="8" t="s">
        <v>682</v>
      </c>
      <c r="B25" s="8"/>
      <c r="C25" s="8"/>
      <c r="D25" s="8" t="s">
        <v>677</v>
      </c>
      <c r="E25" s="8" t="s">
        <v>683</v>
      </c>
      <c r="F25" s="8" t="s">
        <v>684</v>
      </c>
    </row>
    <row r="26" spans="1:10" x14ac:dyDescent="0.25">
      <c r="A26" s="11" t="s">
        <v>685</v>
      </c>
      <c r="B26" s="2"/>
      <c r="C26" s="2"/>
      <c r="D26" s="10">
        <f>COUNTIFS('Bug Report'!$A:$A,"BUG-N5-*",'Bug Report'!$G:$G,$A26)</f>
        <v>0</v>
      </c>
      <c r="E26" s="10">
        <f>COUNTIFS('Bug Report'!$A:$A,"BUG-N5-*",'Bug Report'!$G:$G,$A26,'Bug Report'!$I:$I,"Đã retest đạt")</f>
        <v>0</v>
      </c>
      <c r="F26" s="10">
        <f>D26-E26</f>
        <v>0</v>
      </c>
    </row>
    <row r="27" spans="1:10" x14ac:dyDescent="0.25">
      <c r="A27" s="11" t="s">
        <v>667</v>
      </c>
      <c r="B27" s="2"/>
      <c r="C27" s="2"/>
      <c r="D27" s="10">
        <f>COUNTIFS('Bug Report'!$A:$A,"BUG-N5-*",'Bug Report'!$G:$G,$A27)</f>
        <v>0</v>
      </c>
      <c r="E27" s="10">
        <f>COUNTIFS('Bug Report'!$A:$A,"BUG-N5-*",'Bug Report'!$G:$G,$A27,'Bug Report'!$I:$I,"Đã retest đạt")</f>
        <v>0</v>
      </c>
      <c r="F27" s="10">
        <f>D27-E27</f>
        <v>0</v>
      </c>
    </row>
    <row r="28" spans="1:10" x14ac:dyDescent="0.25">
      <c r="A28" s="11" t="s">
        <v>686</v>
      </c>
      <c r="B28" s="2"/>
      <c r="C28" s="2"/>
      <c r="D28" s="10">
        <f>COUNTIFS('Bug Report'!$A:$A,"BUG-N5-*",'Bug Report'!$G:$G,$A28)</f>
        <v>0</v>
      </c>
      <c r="E28" s="10">
        <f>COUNTIFS('Bug Report'!$A:$A,"BUG-N5-*",'Bug Report'!$G:$G,$A28,'Bug Report'!$I:$I,"Đã retest đạt")</f>
        <v>0</v>
      </c>
      <c r="F28" s="10">
        <f>D28-E28</f>
        <v>0</v>
      </c>
    </row>
    <row r="29" spans="1:10" x14ac:dyDescent="0.25">
      <c r="A29" s="11" t="s">
        <v>687</v>
      </c>
      <c r="B29" s="2"/>
      <c r="C29" s="2"/>
      <c r="D29" s="10">
        <f>COUNTIFS('Bug Report'!$A:$A,"BUG-N5-*",'Bug Report'!$G:$G,$A29)</f>
        <v>0</v>
      </c>
      <c r="E29" s="10">
        <f>COUNTIFS('Bug Report'!$A:$A,"BUG-N5-*",'Bug Report'!$G:$G,$A29,'Bug Report'!$I:$I,"Đã retest đạt")</f>
        <v>0</v>
      </c>
      <c r="F29" s="10">
        <f>D29-E29</f>
        <v>0</v>
      </c>
    </row>
    <row r="31" spans="1:10" x14ac:dyDescent="0.25">
      <c r="A31" s="19" t="s">
        <v>688</v>
      </c>
    </row>
    <row r="32" spans="1:10" ht="19.5" customHeight="1" x14ac:dyDescent="0.25">
      <c r="A32" s="7" t="s">
        <v>689</v>
      </c>
      <c r="B32" s="22" t="str">
        <f>"Đã chạy "&amp;E13&amp;" / "&amp;D13&amp;" TC; PASS "&amp;F13&amp;"; FAIL "&amp;G13&amp;"; tỉ lệ pass "&amp;IF(E13=0,"-",TEXT(F13/E13,"0.0%"))</f>
        <v>Đã chạy 3 / 68 TC; PASS 3; FAIL 0; tỉ lệ pass 100.0%</v>
      </c>
      <c r="C32" s="22"/>
      <c r="D32" s="22"/>
      <c r="E32" s="22"/>
      <c r="F32" s="22"/>
      <c r="G32" s="22"/>
      <c r="H32" s="22"/>
      <c r="I32" s="22"/>
      <c r="J32" s="22"/>
    </row>
    <row r="33" spans="1:10" ht="48" customHeight="1" x14ac:dyDescent="0.25">
      <c r="A33" s="7" t="s">
        <v>690</v>
      </c>
      <c r="B33" s="23"/>
      <c r="C33" s="23"/>
      <c r="D33" s="23"/>
      <c r="E33" s="23"/>
      <c r="F33" s="23"/>
      <c r="G33" s="23"/>
      <c r="H33" s="23"/>
      <c r="I33" s="23"/>
      <c r="J33" s="23"/>
    </row>
    <row r="34" spans="1:10" ht="48" customHeight="1" x14ac:dyDescent="0.25">
      <c r="A34" s="7" t="s">
        <v>691</v>
      </c>
      <c r="B34" s="23"/>
      <c r="C34" s="23"/>
      <c r="D34" s="23"/>
      <c r="E34" s="23"/>
      <c r="F34" s="23"/>
      <c r="G34" s="23"/>
      <c r="H34" s="23"/>
      <c r="I34" s="23"/>
      <c r="J34" s="23"/>
    </row>
    <row r="35" spans="1:10" ht="48" customHeight="1" x14ac:dyDescent="0.25">
      <c r="A35" s="7" t="s">
        <v>692</v>
      </c>
      <c r="B35" s="23"/>
      <c r="C35" s="23"/>
      <c r="D35" s="23"/>
      <c r="E35" s="23"/>
      <c r="F35" s="23"/>
      <c r="G35" s="23"/>
      <c r="H35" s="23"/>
      <c r="I35" s="23"/>
      <c r="J35" s="23"/>
    </row>
    <row r="36" spans="1:10" ht="48" customHeight="1" x14ac:dyDescent="0.25">
      <c r="A36" s="7" t="s">
        <v>693</v>
      </c>
      <c r="B36" s="23"/>
      <c r="C36" s="23"/>
      <c r="D36" s="23"/>
      <c r="E36" s="23"/>
      <c r="F36" s="23"/>
      <c r="G36" s="23"/>
      <c r="H36" s="23"/>
      <c r="I36" s="23"/>
      <c r="J36" s="23"/>
    </row>
  </sheetData>
  <mergeCells count="5">
    <mergeCell ref="B32:J32"/>
    <mergeCell ref="B33:J33"/>
    <mergeCell ref="B34:J34"/>
    <mergeCell ref="B35:J35"/>
    <mergeCell ref="B36:J36"/>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D7D31"/>
  </sheetPr>
  <dimension ref="A1:H18"/>
  <sheetViews>
    <sheetView zoomScale="90" zoomScaleNormal="9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7" customWidth="1"/>
    <col min="2" max="2" width="8" customWidth="1"/>
    <col min="3" max="3" width="54" customWidth="1"/>
    <col min="4" max="4" width="46" customWidth="1"/>
    <col min="5" max="5" width="14" customWidth="1"/>
    <col min="6" max="6" width="22" customWidth="1"/>
    <col min="7" max="7" width="36" customWidth="1"/>
    <col min="8" max="8" width="14" customWidth="1"/>
  </cols>
  <sheetData>
    <row r="1" spans="1:8" x14ac:dyDescent="0.25">
      <c r="A1" s="4" t="s">
        <v>694</v>
      </c>
    </row>
    <row r="2" spans="1:8" ht="31.5" customHeight="1" x14ac:dyDescent="0.25">
      <c r="A2" s="8" t="s">
        <v>695</v>
      </c>
      <c r="B2" s="8" t="s">
        <v>14</v>
      </c>
      <c r="C2" s="8" t="s">
        <v>696</v>
      </c>
      <c r="D2" s="8" t="s">
        <v>697</v>
      </c>
      <c r="E2" s="8" t="s">
        <v>698</v>
      </c>
      <c r="F2" s="8" t="s">
        <v>699</v>
      </c>
      <c r="G2" s="12" t="s">
        <v>700</v>
      </c>
      <c r="H2" s="12" t="s">
        <v>660</v>
      </c>
    </row>
    <row r="3" spans="1:8" ht="25.5" x14ac:dyDescent="0.25">
      <c r="A3" s="9" t="s">
        <v>701</v>
      </c>
      <c r="B3" s="10" t="s">
        <v>26</v>
      </c>
      <c r="C3" s="2" t="s">
        <v>702</v>
      </c>
      <c r="D3" s="2" t="s">
        <v>703</v>
      </c>
      <c r="E3" s="10" t="s">
        <v>29</v>
      </c>
      <c r="F3" s="2" t="s">
        <v>365</v>
      </c>
      <c r="G3" s="1"/>
      <c r="H3" s="20" t="s">
        <v>704</v>
      </c>
    </row>
    <row r="4" spans="1:8" ht="38.25" x14ac:dyDescent="0.25">
      <c r="A4" s="9" t="s">
        <v>705</v>
      </c>
      <c r="B4" s="10" t="s">
        <v>21</v>
      </c>
      <c r="C4" s="2" t="s">
        <v>706</v>
      </c>
      <c r="D4" s="2" t="s">
        <v>707</v>
      </c>
      <c r="E4" s="10" t="s">
        <v>24</v>
      </c>
      <c r="F4" s="2" t="s">
        <v>708</v>
      </c>
      <c r="G4" s="1"/>
      <c r="H4" s="20" t="s">
        <v>704</v>
      </c>
    </row>
    <row r="5" spans="1:8" ht="25.5" x14ac:dyDescent="0.25">
      <c r="A5" s="9" t="s">
        <v>709</v>
      </c>
      <c r="B5" s="10" t="s">
        <v>21</v>
      </c>
      <c r="C5" s="2" t="s">
        <v>710</v>
      </c>
      <c r="D5" s="2" t="s">
        <v>711</v>
      </c>
      <c r="E5" s="10" t="s">
        <v>24</v>
      </c>
      <c r="F5" s="2" t="s">
        <v>262</v>
      </c>
      <c r="G5" s="1"/>
      <c r="H5" s="20" t="s">
        <v>704</v>
      </c>
    </row>
    <row r="6" spans="1:8" ht="25.5" x14ac:dyDescent="0.25">
      <c r="A6" s="9" t="s">
        <v>712</v>
      </c>
      <c r="B6" s="10" t="s">
        <v>21</v>
      </c>
      <c r="C6" s="2" t="s">
        <v>713</v>
      </c>
      <c r="D6" s="2" t="s">
        <v>714</v>
      </c>
      <c r="E6" s="10" t="s">
        <v>715</v>
      </c>
      <c r="F6" s="2" t="s">
        <v>716</v>
      </c>
      <c r="G6" s="1"/>
      <c r="H6" s="20" t="s">
        <v>704</v>
      </c>
    </row>
    <row r="7" spans="1:8" ht="38.25" x14ac:dyDescent="0.25">
      <c r="A7" s="9" t="s">
        <v>717</v>
      </c>
      <c r="B7" s="10" t="s">
        <v>718</v>
      </c>
      <c r="C7" s="2" t="s">
        <v>719</v>
      </c>
      <c r="D7" s="2" t="s">
        <v>720</v>
      </c>
      <c r="E7" s="10" t="s">
        <v>721</v>
      </c>
      <c r="F7" s="2" t="s">
        <v>722</v>
      </c>
      <c r="G7" s="1"/>
      <c r="H7" s="20" t="s">
        <v>723</v>
      </c>
    </row>
    <row r="8" spans="1:8" ht="38.25" x14ac:dyDescent="0.25">
      <c r="A8" s="9" t="s">
        <v>724</v>
      </c>
      <c r="B8" s="10" t="s">
        <v>26</v>
      </c>
      <c r="C8" s="2" t="s">
        <v>725</v>
      </c>
      <c r="D8" s="2" t="s">
        <v>726</v>
      </c>
      <c r="E8" s="10" t="s">
        <v>29</v>
      </c>
      <c r="F8" s="2" t="s">
        <v>727</v>
      </c>
      <c r="G8" s="1"/>
      <c r="H8" s="20" t="s">
        <v>704</v>
      </c>
    </row>
    <row r="9" spans="1:8" ht="25.5" x14ac:dyDescent="0.25">
      <c r="A9" s="9" t="s">
        <v>728</v>
      </c>
      <c r="B9" s="10" t="s">
        <v>32</v>
      </c>
      <c r="C9" s="2" t="s">
        <v>729</v>
      </c>
      <c r="D9" s="2" t="s">
        <v>730</v>
      </c>
      <c r="E9" s="10" t="s">
        <v>29</v>
      </c>
      <c r="F9" s="2" t="s">
        <v>516</v>
      </c>
      <c r="G9" s="1"/>
      <c r="H9" s="20" t="s">
        <v>704</v>
      </c>
    </row>
    <row r="10" spans="1:8" ht="38.25" x14ac:dyDescent="0.25">
      <c r="A10" s="9" t="s">
        <v>731</v>
      </c>
      <c r="B10" s="10" t="s">
        <v>718</v>
      </c>
      <c r="C10" s="2" t="s">
        <v>732</v>
      </c>
      <c r="D10" s="2" t="s">
        <v>733</v>
      </c>
      <c r="E10" s="10" t="s">
        <v>29</v>
      </c>
      <c r="F10" s="2" t="s">
        <v>734</v>
      </c>
      <c r="G10" s="1"/>
      <c r="H10" s="20" t="s">
        <v>704</v>
      </c>
    </row>
    <row r="11" spans="1:8" ht="25.5" x14ac:dyDescent="0.25">
      <c r="A11" s="9" t="s">
        <v>735</v>
      </c>
      <c r="B11" s="10" t="s">
        <v>30</v>
      </c>
      <c r="C11" s="2" t="s">
        <v>736</v>
      </c>
      <c r="D11" s="2" t="s">
        <v>733</v>
      </c>
      <c r="E11" s="10" t="s">
        <v>29</v>
      </c>
      <c r="F11" s="2" t="s">
        <v>734</v>
      </c>
      <c r="G11" s="1"/>
      <c r="H11" s="20" t="s">
        <v>704</v>
      </c>
    </row>
    <row r="12" spans="1:8" ht="38.25" x14ac:dyDescent="0.25">
      <c r="A12" s="9" t="s">
        <v>737</v>
      </c>
      <c r="B12" s="10" t="s">
        <v>32</v>
      </c>
      <c r="C12" s="2" t="s">
        <v>738</v>
      </c>
      <c r="D12" s="2" t="s">
        <v>739</v>
      </c>
      <c r="E12" s="10" t="s">
        <v>29</v>
      </c>
      <c r="F12" s="2" t="s">
        <v>740</v>
      </c>
      <c r="G12" s="1"/>
      <c r="H12" s="20" t="s">
        <v>704</v>
      </c>
    </row>
    <row r="13" spans="1:8" ht="25.5" x14ac:dyDescent="0.25">
      <c r="A13" s="9" t="s">
        <v>741</v>
      </c>
      <c r="B13" s="10" t="s">
        <v>21</v>
      </c>
      <c r="C13" s="2" t="s">
        <v>742</v>
      </c>
      <c r="D13" s="2" t="s">
        <v>743</v>
      </c>
      <c r="E13" s="10" t="s">
        <v>744</v>
      </c>
      <c r="F13" s="2" t="s">
        <v>309</v>
      </c>
      <c r="G13" s="1"/>
      <c r="H13" s="20" t="s">
        <v>704</v>
      </c>
    </row>
    <row r="14" spans="1:8" ht="38.25" x14ac:dyDescent="0.25">
      <c r="A14" s="9" t="s">
        <v>745</v>
      </c>
      <c r="B14" s="10" t="s">
        <v>23</v>
      </c>
      <c r="C14" s="2" t="s">
        <v>746</v>
      </c>
      <c r="D14" s="2" t="s">
        <v>747</v>
      </c>
      <c r="E14" s="10" t="s">
        <v>748</v>
      </c>
      <c r="F14" s="2" t="s">
        <v>749</v>
      </c>
      <c r="G14" s="1"/>
      <c r="H14" s="20" t="s">
        <v>704</v>
      </c>
    </row>
    <row r="15" spans="1:8" ht="25.5" x14ac:dyDescent="0.25">
      <c r="A15" s="9" t="s">
        <v>750</v>
      </c>
      <c r="B15" s="10" t="s">
        <v>21</v>
      </c>
      <c r="C15" s="2" t="s">
        <v>751</v>
      </c>
      <c r="D15" s="2" t="s">
        <v>752</v>
      </c>
      <c r="E15" s="10" t="s">
        <v>24</v>
      </c>
      <c r="F15" s="2" t="s">
        <v>753</v>
      </c>
      <c r="G15" s="1"/>
      <c r="H15" s="20" t="s">
        <v>704</v>
      </c>
    </row>
    <row r="16" spans="1:8" ht="38.25" x14ac:dyDescent="0.25">
      <c r="A16" s="9" t="s">
        <v>754</v>
      </c>
      <c r="B16" s="10" t="s">
        <v>207</v>
      </c>
      <c r="C16" s="2" t="s">
        <v>755</v>
      </c>
      <c r="D16" s="2" t="s">
        <v>756</v>
      </c>
      <c r="E16" s="10" t="s">
        <v>24</v>
      </c>
      <c r="F16" s="2" t="s">
        <v>757</v>
      </c>
      <c r="G16" s="1"/>
      <c r="H16" s="20" t="s">
        <v>704</v>
      </c>
    </row>
    <row r="17" spans="1:8" ht="25.5" x14ac:dyDescent="0.25">
      <c r="A17" s="9" t="s">
        <v>758</v>
      </c>
      <c r="B17" s="10" t="s">
        <v>26</v>
      </c>
      <c r="C17" s="2" t="s">
        <v>759</v>
      </c>
      <c r="D17" s="2" t="s">
        <v>733</v>
      </c>
      <c r="E17" s="10" t="s">
        <v>29</v>
      </c>
      <c r="F17" s="2" t="s">
        <v>734</v>
      </c>
      <c r="G17" s="1"/>
      <c r="H17" s="20" t="s">
        <v>704</v>
      </c>
    </row>
    <row r="18" spans="1:8" ht="51" x14ac:dyDescent="0.25">
      <c r="A18" s="9" t="s">
        <v>760</v>
      </c>
      <c r="B18" s="10" t="s">
        <v>761</v>
      </c>
      <c r="C18" s="2" t="s">
        <v>762</v>
      </c>
      <c r="D18" s="2" t="s">
        <v>763</v>
      </c>
      <c r="E18" s="10" t="s">
        <v>715</v>
      </c>
      <c r="F18" s="2" t="s">
        <v>764</v>
      </c>
      <c r="G18" s="1"/>
      <c r="H18" s="20" t="s">
        <v>704</v>
      </c>
    </row>
  </sheetData>
  <dataValidations count="1">
    <dataValidation type="list" allowBlank="1" sqref="H3:H60" xr:uid="{00000000-0002-0000-0600-000000000000}">
      <formula1>"Chưa hỏi,Đã hỏi,Đã chốt"</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Dữ liệu test</vt:lpstr>
      <vt:lpstr>SQL hỗ trợ</vt:lpstr>
      <vt:lpstr>Test Case</vt:lpstr>
      <vt:lpstr>Bug Report</vt:lpstr>
      <vt:lpstr>Tổng hợp</vt:lpstr>
      <vt:lpstr>Cần xác nhận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2026-10-11T03:05:48Z</dcterms:modified>
  <dc:language>en-US</dc:language>
</cp:coreProperties>
</file>