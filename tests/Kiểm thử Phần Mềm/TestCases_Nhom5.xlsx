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24447F51-0FD0-4321-A778-A573BE4BAEB4}"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<sst xmlns="http://schemas.openxmlformats.org/spreadsheetml/2006/main" count="1126" uniqueCount="680">
  <si>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</si>
  <si>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</si>
  <si>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</si>
  <si>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</si>
  <si>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</si>
  <si>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</si>
  <si>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</si>
  <si>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</si>
  <si>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</si>
  <si>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</si>
  <si>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</si>
  <si>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</si>
  <si>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</si>
  <si>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</si>
  <si>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</si>
  <si>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</si>
  <si>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</si>
  <si>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</si>
  <si>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</si>
  <si>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</si>
  <si>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</si>
  <si>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</si>
  <si>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</si>
  <si>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</si>
  <si>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</si>
  <si>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</si>
  <si>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</si>
  <si>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</si>
  <si>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</si>
  <si>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</si>
  <si>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</si>
  <si>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</si>
  <si>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</si>
  <si>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</si>
  <si>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</si>
  <si>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</si>
  <si>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</si>
  <si>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</si>
  <si>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</si>
  <si>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</si>
  <si>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</si>
  <si>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</si>
  <si>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</si>
  <si>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</si>
  <si>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</si>
  <si>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</si>
  <si>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</si>
  <si>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</si>
  <si>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</si>
  <si>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</si>
  <si>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</si>
  <si>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</si>
  <si>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</si>
  <si>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</si>
  <si>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</si>
  <si>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</si>
  <si>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</si>
  <si>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</si>
  <si>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</si>
  <si>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</si>
  <si>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</si>
  <si>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</si>
  <si>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</si>
  <si>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</si>
  <si>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</si>
  <si>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</si>
  <si>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</si>
  <si>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</si>
  <si>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</si>
  <si>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</si>
  <si>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</si>
  <si>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</si>
  <si>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</si>
  <si>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</si>
  <si>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</si>
  <si>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</si>
  <si>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</si>
  <si>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</si>
  <si>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</si>
  <si>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</si>
  <si>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</si>
  <si>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</si>
  <si>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</si>
  <si>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</si>
  <si>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</si>
  <si>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</si>
  <si>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</si>
  <si>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</si>
  <si>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</si>
  <si>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</si>
  <si>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</si>
  <si>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</si>
  <si>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</si>
  <si>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</si>
  <si>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</si>
  <si>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</si>
  <si>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</si>
  <si>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</si>
  <si>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</si>
  <si>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</si>
  <si>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</si>
  <si>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</si>
  <si>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</si>
  <si>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</si>
  <si>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</si>
  <si>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</si>
  <si>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</si>
  <si>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</si>
  <si>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</si>
  <si>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</si>
  <si>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</si>
  <si>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</si>
  <si>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</si>
  <si>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</si>
  <si>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</si>
  <si>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</si>
  <si>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</si>
  <si>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</si>
  <si>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</si>
  <si>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</si>
  <si>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</si>
  <si>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</si>
  <si>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</si>
  <si>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</si>
  <si>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</si>
  <si>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</si>
  <si>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</si>
  <si>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</si>
  <si>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</si>
  <si>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</si>
  <si>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</si>
  <si>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</si>
  <si>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</si>
  <si>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</si>
  <si>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</si>
  <si>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</si>
  <si>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</si>
  <si>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</si>
  <si>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</si>
  <si>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</si>
  <si>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</si>
  <si>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</si>
  <si>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</si>
  <si>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</si>
  <si>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</si>
  <si>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</si>
  <si>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</si>
  <si>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</si>
  <si>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</si>
  <si>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</si>
  <si>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</si>
  <si>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</si>
  <si>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</si>
  <si>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</si>
  <si>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</si>
  <si>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</si>
  <si>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</si>
  <si>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</si>
  <si>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</si>
  <si>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</si>
  <si>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</si>
  <si>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</si>
  <si>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</si>
  <si>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</si>
  <si>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</si>
  <si>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</si>
  <si>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</si>
  <si>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</si>
  <si>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</si>
  <si>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</si>
  <si>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</si>
  <si>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</si>
  <si>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</si>
  <si>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</si>
  <si>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</si>
  <si>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</si>
  <si>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</si>
  <si>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</si>
  <si>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</si>
  <si>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</si>
  <si>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</si>
  <si>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</si>
  <si>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</si>
  <si>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</si>
  <si>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</si>
  <si>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</si>
  <si>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</si>
  <si>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</si>
  <si>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</si>
  <si>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</si>
  <si>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</si>
  <si>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</si>
  <si>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</si>
  <si>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</si>
  <si>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</si>
  <si>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</si>
  <si>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</si>
  <si>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</si>
  <si>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</si>
  <si>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</si>
  <si>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</si>
  <si>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</si>
  <si>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</si>
  <si>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</si>
  <si>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</si>
  <si>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</si>
  <si>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</si>
  <si>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</si>
  <si>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</si>
  <si>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</si>
  <si>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</si>
  <si>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</si>
  <si>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</si>
  <si>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</si>
  <si>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</si>
  <si>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</si>
  <si>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</si>
  <si>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</si>
  <si>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</si>
  <si>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</si>
  <si>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</si>
  <si>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</si>
  <si>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</si>
  <si>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</si>
  <si>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</si>
  <si>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</si>
  <si>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</si>
  <si>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</si>
  <si>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</si>
  <si>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</si>
  <si>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</si>
  <si>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</si>
  <si>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</si>
  <si>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</si>
  <si>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</si>
  <si>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</si>
  <si>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</si>
  <si>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</si>
  <si>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</si>
  <si>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</si>
  <si>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</si>
  <si>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</si>
  <si>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</si>
  <si>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</si>
  <si>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</si>
  <si>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</si>
  <si>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</si>
  <si>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</si>
  <si>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</si>
  <si>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</si>
  <si>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</si>
  <si>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</si>
  <si>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</si>
  <si>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</si>
  <si>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</si>
  <si>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</si>
  <si>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</si>
  <si>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</si>
  <si>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</si>
  <si>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</si>
  <si>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</si>
  <si>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</si>
  <si>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</si>
  <si>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</si>
  <si>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</si>
  <si>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</si>
  <si>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</si>
  <si>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</si>
  <si>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</si>
  <si>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</si>
  <si>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</si>
  <si>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</si>
  <si>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</si>
  <si>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</si>
  <si>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</si>
  <si>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</si>
  <si>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</si>
  <si>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</si>
  <si>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</si>
  <si>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</si>
  <si>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</si>
  <si>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</si>
  <si>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</si>
  <si>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</si>
  <si>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</si>
  <si>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</si>
  <si>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</si>
  <si>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</si>
  <si>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</si>
  <si>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</si>
  <si>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</si>
  <si>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</si>
  <si>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</si>
  <si>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</si>
  <si>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</si>
  <si>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</si>
  <si>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</si>
  <si>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</si>
  <si>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</si>
  <si>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</si>
  <si>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</si>
  <si>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</si>
  <si>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</si>
  <si>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</si>
  <si>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</si>
  <si>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</si>
  <si>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</si>
  <si>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</si>
  <si>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</si>
  <si>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</si>
  <si>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</si>
  <si>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</si>
  <si>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</si>
  <si>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</si>
  <si>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</si>
  <si>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</si>
  <si>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</si>
  <si>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</si>
  <si>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</si>
  <si>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</si>
  <si>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</si>
  <si>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</si>
  <si>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</si>
  <si>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</si>
  <si>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</si>
  <si>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</si>
  <si>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</si>
  <si>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</si>
  <si>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</si>
  <si>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</si>
  <si>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</si>
  <si>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</si>
  <si>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</si>
  <si>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</si>
  <si>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</si>
  <si>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</si>
  <si>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</si>
  <si>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</si>
  <si>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</si>
  <si>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</si>
  <si>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</si>
  <si>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</si>
  <si>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</si>
  <si>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</si>
  <si>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</si>
  <si>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</si>
  <si>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</si>
  <si>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</si>
  <si>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</si>
  <si>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</si>
  <si>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</si>
  <si>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</si>
  <si>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</si>
  <si>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</si>
  <si>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</si>
  <si>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</si>
  <si>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</si>
  <si>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</si>
  <si>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</si>
  <si>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</si>
  <si>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</si>
  <si>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</si>
  <si>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</si>
  <si>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</si>
  <si>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</si>
  <si>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</si>
  <si>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</si>
  <si>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</si>
  <si>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</si>
  <si>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</si>
  <si>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</si>
  <si>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</si>
  <si>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</si>
  <si>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</si>
  <si>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</si>
  <si>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</si>
  <si>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</si>
  <si>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</si>
  <si>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</si>
  <si>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</si>
  <si>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</si>
  <si>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</si>
  <si>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</si>
  <si>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</si>
  <si>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</si>
  <si>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</si>
  <si>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</si>
  <si>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</si>
  <si>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</si>
  <si>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</si>
  <si>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</si>
  <si>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</si>
  <si>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</si>
  <si>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</si>
  <si>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</si>
  <si>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</si>
  <si>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</si>
  <si>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</si>
  <si>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</si>
  <si>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</si>
  <si>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</si>
  <si>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</si>
  <si>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</si>
  <si>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</si>
  <si>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</si>
  <si>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</si>
  <si>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</si>
  <si>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</si>
  <si>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</si>
  <si>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</si>
  <si>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</si>
  <si>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</si>
  <si>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</si>
  <si>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</si>
  <si>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</si>
  <si>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</si>
  <si>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</si>
  <si>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</si>
  <si>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</si>
  <si>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</si>
  <si>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</si>
  <si>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</si>
  <si>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</si>
  <si>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</si>
  <si>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</si>
  <si>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</si>
  <si>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</si>
  <si>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</si>
  <si>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</si>
  <si>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</si>
  <si>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</si>
  <si>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</si>
  <si>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</si>
  <si>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</si>
  <si>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</si>
  <si>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</si>
  <si>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</si>
  <si>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</si>
  <si>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</si>
  <si>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</si>
  <si>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</si>
  <si>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</si>
  <si>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</si>
  <si>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</si>
  <si>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</si>
  <si>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</si>
  <si>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</si>
  <si>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</si>
  <si>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</si>
  <si>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</si>
  <si>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</si>
  <si>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</si>
  <si>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</si>
  <si>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</si>
  <si>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</si>
  <si>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</si>
  <si>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</si>
  <si>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</si>
  <si>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</si>
  <si>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</si>
  <si>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</si>
  <si>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</si>
  <si>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</si>
  <si>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</si>
  <si>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</si>
  <si>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</si>
  <si>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</si>
  <si>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</si>
  <si>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</si>
  <si>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</si>
  <si>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</si>
  <si>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</si>
  <si>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</si>
  <si>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</si>
  <si>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</si>
  <si>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</si>
  <si>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</si>
  <si>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</si>
  <si>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</si>
  <si>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</si>
  <si>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</si>
  <si>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</si>
  <si>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</si>
  <si>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</si>
  <si>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</si>
  <si>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</si>
  <si>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</si>
  <si>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</si>
  <si>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</si>
  <si>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</si>
  <si>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</si>
  <si>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</si>
  <si>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</si>
  <si>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</si>
  <si>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</si>
  <si>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</si>
  <si>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</si>
  <si>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</si>
  <si>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</si>
  <si>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</si>
  <si>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</si>
  <si>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</si>
  <si>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</si>
  <si>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</si>
  <si>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</si>
  <si>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</si>
  <si>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</si>
  <si>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</si>
  <si>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</si>
  <si>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</si>
  <si>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</si>
  <si>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</si>
  <si>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</si>
  <si>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</si>
  <si>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</si>
  <si>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</si>
  <si>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</si>
  <si>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</si>
  <si>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</si>
  <si>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</si>
  <si>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</si>
  <si>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</si>
  <si>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</si>
  <si>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</si>
  <si>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</si>
  <si>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</si>
  <si>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</si>
  <si>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</si>
  <si>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</si>
  <si>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</si>
  <si>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</si>
  <si>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</si>
  <si>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</si>
  <si>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</si>
  <si>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</si>
  <si>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</si>
  <si>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</si>
  <si>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</si>
  <si>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</si>
  <si>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</si>
  <si>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</si>
  <si>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</si>
  <si>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</si>
  <si>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</si>
  <si>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</si>
  <si>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</si>
  <si>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</si>
  <si>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</si>
  <si>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</si>
  <si>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</si>
  <si>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</si>
  <si>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</si>
  <si>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</si>
  <si>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</si>
  <si>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</si>
  <si>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</si>
  <si>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</si>
  <si>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</si>
  <si>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</si>
  <si>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</si>
  <si>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</si>
  <si>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</si>
  <si>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</si>
  <si>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</si>
  <si>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</si>
  <si>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</si>
  <si>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</si>
  <si>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</si>
  <si>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</si>
  <si>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</si>
  <si>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</si>
  <si>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</si>
  <si>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</si>
  <si>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</si>
  <si>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</si>
  <si>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</si>
  <si>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</si>
  <si>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</si>
  <si>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</si>
  <si>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</si>
  <si>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</si>
  <si>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</si>
  <si>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</si>
  <si>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</si>
  <si>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</si>
  <si>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</si>
  <si>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</si>
  <si>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</si>
  <si>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</si>
  <si>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</si>
  <si>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</si>
  <si>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</si>
  <si>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</si>
  <si>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</si>
  <si>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</si>
  <si>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</si>
  <si>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</si>
  <si>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</si>
  <si>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</si>
  <si>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</si>
  <si>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</si>
  <si>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</si>
  <si>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</si>
  <si>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</si>
  <si>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</si>
  <si>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</si>
  <si>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</si>
  <si>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</si>
  <si>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</si>
  <si>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Tìm kiếm món ăn trong thực đơn bằng tiếng Việt không dấu (AF-3)</t>
  </si>
  <si>
    <t>Black-box theo UC Spec (AF-3)</t>
  </si>
  <si>
    <t>UC22 AF-3; hàm boDau() trên giao diện quan-ly-menu.js</t>
  </si>
  <si>
    <t>Đã đăng nhập chutquan01 (vai trò CHU_QUAN). Thực đơn có món "Trà đào", "Cà phê sữa", "Bạc xỉu".</t>
  </si>
  <si>
    <t>Nhập vào ô "Tìm món": "tra dao", sau đó đổi thành "bac xiu"</t>
  </si>
  <si>
    <t>Giao diện lọc món tức thì: gõ "tra dao" hiển thị món "Trà đào", gõ "bac xiu" hiển thị món "Bạc xỉu". Món không khớp bị ẩn. Khi xóa ô tìm kiếm thì bảng hiển thị lại đầy đủ thực đơn.</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</si>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</sst>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b/>
      <sz val="14"/>
      <color rgb="FF1F3864"/>
      <name val="Arial"/>
      <charset val="1"/>
    </font>
    <font>
      <b/>
      <sz val="10"/>
      <color rgb="FF000000"/>
      <name val="Arial"/>
      <charset val="1"/>
    </font>
    <font>
      <sz val="10"/>
      <color rgb="FF000000"/>
      <name val="Arial"/>
      <charset val="1"/>
    </font>
    <font>
      <b/>
      <sz val="10"/>
      <color rgb="FFFFFFFF"/>
      <name val="Arial"/>
      <charset val="1"/>
    </font>
    <font>
      <b/>
      <sz val="11"/>
      <color rgb="FF1F3864"/>
      <name val="Arial"/>
      <charset val="1"/>
    </font>
    <font>
      <u/>
      <sz val="11"/>
      <color theme="10"/>
      <name val="Calibri"/>
      <family val="2"/>
      <charset val="1"/>
    </font>
    <font>
      <sz val="8"/>
      <name val="Calibri"/>
      <family val="2"/>
      <charset val="1"/>
    </font>
    <font>
      <sz val="10"/>
      <name val="Arial"/>
      <family val="2"/>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6" fillId="0" borderId="0" applyNumberFormat="0" applyFill="0" applyBorder="0" applyAlignment="0" applyProtection="0"/>
  </cellStyleXfs>
  <cellXfs count="19">
    <xf numFmtId="0" fontId="0" fillId="0" borderId="0" xfId="0"/>
    <xf numFmtId="0" fontId="3" fillId="0" borderId="1" xfId="0" applyFont="1" applyBorder="1" applyAlignment="1">
      <alignment vertical="top" wrapText="1"/>
    </xf>
    <xf numFmtId="0" fontId="1" fillId="0" borderId="0" xfId="0" applyFont="1"/>
    <xf numFmtId="0" fontId="2" fillId="3" borderId="1" xfId="0" applyFont="1" applyFill="1" applyBorder="1" applyAlignment="1">
      <alignment vertical="top"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vertical="top" wrapText="1"/>
    </xf>
    <xf numFmtId="0" fontId="4" fillId="5" borderId="1" xfId="0" applyFont="1" applyFill="1" applyBorder="1" applyAlignment="1">
      <alignment horizontal="center" vertical="center" wrapText="1"/>
    </xf>
    <xf numFmtId="164" fontId="3" fillId="0" borderId="1" xfId="0" applyNumberFormat="1" applyFont="1" applyBorder="1" applyAlignment="1">
      <alignment horizontal="center" vertical="top" wrapText="1"/>
    </xf>
    <xf numFmtId="0" fontId="2" fillId="3" borderId="1" xfId="0" applyFont="1" applyFill="1" applyBorder="1" applyAlignment="1">
      <alignment horizontal="center" vertical="top" wrapText="1"/>
    </xf>
    <xf numFmtId="0" fontId="3" fillId="3" borderId="1" xfId="0" applyFont="1" applyFill="1" applyBorder="1" applyAlignment="1">
      <alignment vertical="top" wrapText="1"/>
    </xf>
    <xf numFmtId="164" fontId="2" fillId="3" borderId="1" xfId="0" applyNumberFormat="1" applyFont="1" applyFill="1" applyBorder="1" applyAlignment="1">
      <alignment horizontal="center" vertical="top" wrapText="1"/>
    </xf>
    <xf numFmtId="0" fontId="5" fillId="0" borderId="0" xfId="0" applyFont="1"/>
    <xf numFmtId="0" fontId="6" fillId="0" borderId="1" xfId="1" applyBorder="1" applyAlignment="1">
      <alignment vertical="top" wrapText="1"/>
    </xf>
    <xf numFmtId="0" fontId="8" fillId="0" borderId="1" xfId="0" applyFont="1" applyBorder="1" applyAlignment="1">
      <alignment horizontal="center" vertical="top" wrapText="1"/>
    </xf>
    <xf numFmtId="0" fontId="8" fillId="0" borderId="1" xfId="0" applyFont="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vertical="top" wrapText="1"/>
    </xf>
  </cellXfs>
  <cellStyles count="2">
    <cellStyle name="Hyperlink" xfId="1" builtinId="8"/>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KQ-test\TC-01-01.png" TargetMode="External"/><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67" activePane="bottomRight" state="frozen"/>
      <selection pane="topRight" activeCell="D1" sqref="D1"/>
      <selection pane="bottomLeft" activeCell="A3" sqref="A3"/>
      <selection pane="bottomRight" activeCell="M68" sqref="M68"/>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102"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89.2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678</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679</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c r="L69" s="15"/>
      <c r="M69" s="16"/>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c r="L70" s="15"/>
      <c r="M70" s="16"/>
      <c r="N70" s="16"/>
    </row>
    <row r="71" spans="1:14" ht="51" x14ac:dyDescent="0.25">
      <c r="A71" s="15" t="s">
        <v>554</v>
      </c>
      <c r="B71" s="15" t="s">
        <v>518</v>
      </c>
      <c r="C71" s="16" t="s">
        <v>555</v>
      </c>
      <c r="D71" s="16" t="s">
        <v>74</v>
      </c>
      <c r="E71" s="16" t="s">
        <v>556</v>
      </c>
      <c r="F71" s="16" t="s">
        <v>557</v>
      </c>
      <c r="G71" s="15" t="s">
        <v>40</v>
      </c>
      <c r="H71" s="16" t="s">
        <v>538</v>
      </c>
      <c r="I71" s="16" t="s">
        <v>558</v>
      </c>
      <c r="J71" s="16" t="s">
        <v>559</v>
      </c>
      <c r="K71" s="16"/>
      <c r="L71" s="15"/>
      <c r="M71" s="16"/>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c r="L72" s="15"/>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c r="L73" s="15"/>
      <c r="M73" s="16"/>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c r="L74" s="15"/>
      <c r="M74" s="16"/>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c r="L75" s="15"/>
      <c r="M75" s="16"/>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51" x14ac:dyDescent="0.25">
      <c r="A79" s="15" t="s">
        <v>608</v>
      </c>
      <c r="B79" s="15" t="s">
        <v>518</v>
      </c>
      <c r="C79" s="16" t="s">
        <v>609</v>
      </c>
      <c r="D79" s="16" t="s">
        <v>20</v>
      </c>
      <c r="E79" s="16" t="s">
        <v>610</v>
      </c>
      <c r="F79" s="16" t="s">
        <v>611</v>
      </c>
      <c r="G79" s="15" t="s">
        <v>63</v>
      </c>
      <c r="H79" s="16" t="s">
        <v>612</v>
      </c>
      <c r="I79" s="16" t="s">
        <v>613</v>
      </c>
      <c r="J79" s="16" t="s">
        <v>614</v>
      </c>
      <c r="K79" s="16"/>
      <c r="L79" s="15"/>
      <c r="M79" s="16"/>
      <c r="N79" s="16"/>
    </row>
    <row r="80" spans="1:14" ht="76.5" x14ac:dyDescent="0.25">
      <c r="A80" s="15" t="s">
        <v>615</v>
      </c>
      <c r="B80" s="15" t="s">
        <v>519</v>
      </c>
      <c r="C80" s="16" t="s">
        <v>616</v>
      </c>
      <c r="D80" s="16" t="s">
        <v>37</v>
      </c>
      <c r="E80" s="16" t="s">
        <v>38</v>
      </c>
      <c r="F80" s="16" t="s">
        <v>617</v>
      </c>
      <c r="G80" s="15" t="s">
        <v>40</v>
      </c>
      <c r="H80" s="16" t="s">
        <v>618</v>
      </c>
      <c r="I80" s="16" t="s">
        <v>619</v>
      </c>
      <c r="J80" s="16" t="s">
        <v>620</v>
      </c>
      <c r="K80" s="16"/>
      <c r="L80" s="15"/>
      <c r="M80" s="16"/>
      <c r="N80" s="16"/>
    </row>
    <row r="81" spans="1:14" ht="51" x14ac:dyDescent="0.25">
      <c r="A81" s="15" t="s">
        <v>621</v>
      </c>
      <c r="B81" s="15" t="s">
        <v>519</v>
      </c>
      <c r="C81" s="16" t="s">
        <v>622</v>
      </c>
      <c r="D81" s="16" t="s">
        <v>20</v>
      </c>
      <c r="E81" s="16" t="s">
        <v>623</v>
      </c>
      <c r="F81" s="16" t="s">
        <v>624</v>
      </c>
      <c r="G81" s="15" t="s">
        <v>40</v>
      </c>
      <c r="H81" s="16" t="s">
        <v>538</v>
      </c>
      <c r="I81" s="16" t="s">
        <v>625</v>
      </c>
      <c r="J81" s="16" t="s">
        <v>626</v>
      </c>
      <c r="K81" s="16"/>
      <c r="L81" s="15"/>
      <c r="M81" s="16"/>
      <c r="N81" s="16"/>
    </row>
    <row r="82" spans="1:14" ht="38.25" x14ac:dyDescent="0.25">
      <c r="A82" s="15" t="s">
        <v>627</v>
      </c>
      <c r="B82" s="15" t="s">
        <v>519</v>
      </c>
      <c r="C82" s="16" t="s">
        <v>628</v>
      </c>
      <c r="D82" s="16" t="s">
        <v>74</v>
      </c>
      <c r="E82" s="16" t="s">
        <v>629</v>
      </c>
      <c r="F82" s="16" t="s">
        <v>630</v>
      </c>
      <c r="G82" s="15" t="s">
        <v>63</v>
      </c>
      <c r="H82" s="16" t="s">
        <v>631</v>
      </c>
      <c r="I82" s="16" t="s">
        <v>632</v>
      </c>
      <c r="J82" s="16" t="s">
        <v>633</v>
      </c>
      <c r="K82" s="16"/>
      <c r="L82" s="15"/>
      <c r="M82" s="16"/>
      <c r="N82" s="16"/>
    </row>
    <row r="83" spans="1:14" ht="38.25" x14ac:dyDescent="0.25">
      <c r="A83" s="15" t="s">
        <v>634</v>
      </c>
      <c r="B83" s="15" t="s">
        <v>519</v>
      </c>
      <c r="C83" s="16" t="s">
        <v>635</v>
      </c>
      <c r="D83" s="16" t="s">
        <v>20</v>
      </c>
      <c r="E83" s="16" t="s">
        <v>636</v>
      </c>
      <c r="F83" s="16" t="s">
        <v>637</v>
      </c>
      <c r="G83" s="15" t="s">
        <v>40</v>
      </c>
      <c r="H83" s="16" t="s">
        <v>631</v>
      </c>
      <c r="I83" s="16" t="s">
        <v>638</v>
      </c>
      <c r="J83" s="16" t="s">
        <v>639</v>
      </c>
      <c r="K83" s="16"/>
      <c r="L83" s="15"/>
      <c r="M83" s="16"/>
      <c r="N83" s="16"/>
    </row>
    <row r="84" spans="1:14" ht="63.75" x14ac:dyDescent="0.25">
      <c r="A84" s="15" t="s">
        <v>640</v>
      </c>
      <c r="B84" s="15" t="s">
        <v>519</v>
      </c>
      <c r="C84" s="16" t="s">
        <v>641</v>
      </c>
      <c r="D84" s="16" t="s">
        <v>20</v>
      </c>
      <c r="E84" s="16" t="s">
        <v>610</v>
      </c>
      <c r="F84" s="16" t="s">
        <v>642</v>
      </c>
      <c r="G84" s="15" t="s">
        <v>40</v>
      </c>
      <c r="H84" s="16" t="s">
        <v>643</v>
      </c>
      <c r="I84" s="16" t="s">
        <v>644</v>
      </c>
      <c r="J84" s="16" t="s">
        <v>645</v>
      </c>
      <c r="K84" s="16"/>
      <c r="L84" s="15"/>
      <c r="M84" s="16"/>
      <c r="N84" s="16"/>
    </row>
    <row r="85" spans="1:14" ht="102" x14ac:dyDescent="0.25">
      <c r="A85" s="15" t="s">
        <v>646</v>
      </c>
      <c r="B85" s="15" t="s">
        <v>519</v>
      </c>
      <c r="C85" s="16" t="s">
        <v>647</v>
      </c>
      <c r="D85" s="16" t="s">
        <v>54</v>
      </c>
      <c r="E85" s="16" t="s">
        <v>648</v>
      </c>
      <c r="F85" s="16" t="s">
        <v>649</v>
      </c>
      <c r="G85" s="15" t="s">
        <v>40</v>
      </c>
      <c r="H85" s="16" t="s">
        <v>538</v>
      </c>
      <c r="I85" s="16" t="s">
        <v>650</v>
      </c>
      <c r="J85" s="16" t="s">
        <v>651</v>
      </c>
      <c r="K85" s="16"/>
      <c r="L85" s="15"/>
      <c r="M85" s="16"/>
      <c r="N85" s="16"/>
    </row>
    <row r="86" spans="1:14" ht="102" x14ac:dyDescent="0.25">
      <c r="A86" s="15" t="s">
        <v>652</v>
      </c>
      <c r="B86" s="15" t="s">
        <v>519</v>
      </c>
      <c r="C86" s="16" t="s">
        <v>653</v>
      </c>
      <c r="D86" s="16" t="s">
        <v>74</v>
      </c>
      <c r="E86" s="16" t="s">
        <v>654</v>
      </c>
      <c r="F86" s="16" t="s">
        <v>655</v>
      </c>
      <c r="G86" s="15" t="s">
        <v>40</v>
      </c>
      <c r="H86" s="16" t="s">
        <v>538</v>
      </c>
      <c r="I86" s="16" t="s">
        <v>656</v>
      </c>
      <c r="J86" s="16" t="s">
        <v>657</v>
      </c>
      <c r="K86" s="16"/>
      <c r="L86" s="15"/>
      <c r="M86" s="16"/>
      <c r="N86" s="16"/>
    </row>
    <row r="87" spans="1:14" ht="63.75" x14ac:dyDescent="0.25">
      <c r="A87" s="15" t="s">
        <v>658</v>
      </c>
      <c r="B87" s="15" t="s">
        <v>519</v>
      </c>
      <c r="C87" s="16" t="s">
        <v>659</v>
      </c>
      <c r="D87" s="16" t="s">
        <v>54</v>
      </c>
      <c r="E87" s="16" t="s">
        <v>660</v>
      </c>
      <c r="F87" s="16" t="s">
        <v>661</v>
      </c>
      <c r="G87" s="15" t="s">
        <v>40</v>
      </c>
      <c r="H87" s="16" t="s">
        <v>662</v>
      </c>
      <c r="I87" s="16" t="s">
        <v>663</v>
      </c>
      <c r="J87" s="16" t="s">
        <v>664</v>
      </c>
      <c r="K87" s="16"/>
      <c r="L87" s="15"/>
      <c r="M87" s="16"/>
      <c r="N87" s="16"/>
    </row>
    <row r="88" spans="1:14" ht="102" x14ac:dyDescent="0.25">
      <c r="A88" s="15" t="s">
        <v>665</v>
      </c>
      <c r="B88" s="15" t="s">
        <v>519</v>
      </c>
      <c r="C88" s="16" t="s">
        <v>666</v>
      </c>
      <c r="D88" s="16" t="s">
        <v>20</v>
      </c>
      <c r="E88" s="16" t="s">
        <v>568</v>
      </c>
      <c r="F88" s="16" t="s">
        <v>667</v>
      </c>
      <c r="G88" s="15" t="s">
        <v>63</v>
      </c>
      <c r="H88" s="16" t="s">
        <v>668</v>
      </c>
      <c r="I88" s="16" t="s">
        <v>669</v>
      </c>
      <c r="J88" s="16" t="s">
        <v>670</v>
      </c>
      <c r="K88" s="16"/>
      <c r="L88" s="15"/>
      <c r="M88" s="16"/>
      <c r="N88" s="16"/>
    </row>
    <row r="89" spans="1:14" ht="38.25" x14ac:dyDescent="0.25">
      <c r="A89" s="15" t="s">
        <v>671</v>
      </c>
      <c r="B89" s="15" t="s">
        <v>519</v>
      </c>
      <c r="C89" s="16" t="s">
        <v>672</v>
      </c>
      <c r="D89" s="16" t="s">
        <v>54</v>
      </c>
      <c r="E89" s="16" t="s">
        <v>673</v>
      </c>
      <c r="F89" s="16" t="s">
        <v>674</v>
      </c>
      <c r="G89" s="15" t="s">
        <v>63</v>
      </c>
      <c r="H89" s="16" t="s">
        <v>675</v>
      </c>
      <c r="I89" s="16" t="s">
        <v>676</v>
      </c>
      <c r="J89" s="16" t="s">
        <v>677</v>
      </c>
      <c r="K89" s="16"/>
      <c r="L89" s="15"/>
      <c r="M89" s="16"/>
      <c r="N89" s="16"/>
    </row>
  </sheetData>
  <autoFilter ref="A1:N65" xr:uid="{00000000-0009-0000-0000-000003000000}">
    <sortState xmlns:xlrd2="http://schemas.microsoft.com/office/spreadsheetml/2017/richdata2" ref="A2:N65">
      <sortCondition ref="A1:A65"/>
    </sortState>
  </autoFilter>
  <phoneticPr fontId="7"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10</v>
      </c>
      <c r="F17" s="6">
        <f>COUNTIFS('Test Case'!$D:$D,$A17,'Test Case'!$L:$L,"FAIL")</f>
        <v>0</v>
      </c>
    </row>
    <row r="18" spans="1:10" x14ac:dyDescent="0.25">
      <c r="A18" s="7" t="s">
        <v>74</v>
      </c>
      <c r="B18" s="1"/>
      <c r="C18" s="1"/>
      <c r="D18" s="6">
        <f>COUNTIF('Test Case'!$D:$D,$A18)</f>
        <v>16</v>
      </c>
      <c r="E18" s="6">
        <f>COUNTIFS('Test Case'!$D:$D,$A18,'Test Case'!$L:$L,"PASS")</f>
        <v>10</v>
      </c>
      <c r="F18" s="6">
        <f>COUNTIFS('Test Case'!$D:$D,$A18,'Test Case'!$L:$L,"FAIL")</f>
        <v>0</v>
      </c>
    </row>
    <row r="19" spans="1:10" x14ac:dyDescent="0.25">
      <c r="A19" s="7" t="s">
        <v>20</v>
      </c>
      <c r="B19" s="1"/>
      <c r="C19" s="1"/>
      <c r="D19" s="6">
        <f>COUNTIF('Test Case'!$D:$D,$A19)</f>
        <v>24</v>
      </c>
      <c r="E19" s="6">
        <f>COUNTIFS('Test Case'!$D:$D,$A19,'Test Case'!$L:$L,"PASS")</f>
        <v>11</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17" t="str">
        <f>"Đã chạy "&amp;E12&amp;" / "&amp;D12&amp;" TC; PASS "&amp;F12&amp;"; FAIL "&amp;G12&amp;"; tỉ lệ pass "&amp;IF(E12=0,"-",TEXT(F12/E12,"0.0%"))</f>
        <v>Đã chạy 38 / 64 TC; PASS 38; FAIL 0; tỉ lệ pass 100.0%</v>
      </c>
      <c r="C31" s="17"/>
      <c r="D31" s="17"/>
      <c r="E31" s="17"/>
      <c r="F31" s="17"/>
      <c r="G31" s="17"/>
      <c r="H31" s="17"/>
      <c r="I31" s="17"/>
      <c r="J31" s="17"/>
    </row>
    <row r="32" spans="1:10" ht="48" customHeight="1" x14ac:dyDescent="0.25">
      <c r="A32" s="3" t="s">
        <v>454</v>
      </c>
      <c r="B32" s="18"/>
      <c r="C32" s="18"/>
      <c r="D32" s="18"/>
      <c r="E32" s="18"/>
      <c r="F32" s="18"/>
      <c r="G32" s="18"/>
      <c r="H32" s="18"/>
      <c r="I32" s="18"/>
      <c r="J32" s="18"/>
    </row>
    <row r="33" spans="1:10" ht="48" customHeight="1" x14ac:dyDescent="0.25">
      <c r="A33" s="3" t="s">
        <v>455</v>
      </c>
      <c r="B33" s="18"/>
      <c r="C33" s="18"/>
      <c r="D33" s="18"/>
      <c r="E33" s="18"/>
      <c r="F33" s="18"/>
      <c r="G33" s="18"/>
      <c r="H33" s="18"/>
      <c r="I33" s="18"/>
      <c r="J33" s="18"/>
    </row>
    <row r="34" spans="1:10" ht="48" customHeight="1" x14ac:dyDescent="0.25">
      <c r="A34" s="3" t="s">
        <v>456</v>
      </c>
      <c r="B34" s="18"/>
      <c r="C34" s="18"/>
      <c r="D34" s="18"/>
      <c r="E34" s="18"/>
      <c r="F34" s="18"/>
      <c r="G34" s="18"/>
      <c r="H34" s="18"/>
      <c r="I34" s="18"/>
      <c r="J34" s="18"/>
    </row>
    <row r="35" spans="1:10" ht="48" customHeight="1" x14ac:dyDescent="0.25">
      <c r="A35" s="3" t="s">
        <v>457</v>
      </c>
      <c r="B35" s="18"/>
      <c r="C35" s="18"/>
      <c r="D35" s="18"/>
      <c r="E35" s="18"/>
      <c r="F35" s="18"/>
      <c r="G35" s="18"/>
      <c r="H35" s="18"/>
      <c r="I35" s="18"/>
      <c r="J35" s="18"/>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2026-10-14T09:20:24Z</dcterms:modified>
  <dc:language>en-US</dc:language>
</cp:coreProperties>
</file>