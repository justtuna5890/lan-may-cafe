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tudy\Nam3\CNPM\project\lan-may-cafe\tests\Kiểm thử Phần Mềm\"/>
    </mc:Choice>
  </mc:AlternateContent>
  <xr:revisionPtr revIDLastSave="0" documentId="13_ncr:1_{1126C25F-724C-407C-9BCB-2E92C75F72BE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est Case" sheetId="4" r:id="rId1"/>
    <sheet name="Bug Report" sheetId="5" r:id="rId2"/>
    <sheet name="Tổng hợp" sheetId="6" r:id="rId3"/>
  </sheets>
  <definedNames>
    <definedName name="_xlnm._FilterDatabase" localSheetId="0" hidden="1">'Test Case'!$A$1:$N$69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8" i="6" l="1"/>
  <c r="D28" i="6"/>
  <c r="F28" i="6" s="1"/>
  <c r="E27" i="6"/>
  <c r="D27" i="6"/>
  <c r="F27" i="6" s="1"/>
  <c r="E26" i="6"/>
  <c r="D26" i="6"/>
  <c r="E25" i="6"/>
  <c r="D25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J11" i="6"/>
  <c r="G11" i="6"/>
  <c r="F11" i="6"/>
  <c r="E11" i="6" s="1"/>
  <c r="D11" i="6"/>
  <c r="J10" i="6"/>
  <c r="G10" i="6"/>
  <c r="F10" i="6"/>
  <c r="D10" i="6"/>
  <c r="J9" i="6"/>
  <c r="G9" i="6"/>
  <c r="F9" i="6"/>
  <c r="E9" i="6" s="1"/>
  <c r="D9" i="6"/>
  <c r="J8" i="6"/>
  <c r="G8" i="6"/>
  <c r="F8" i="6"/>
  <c r="E8" i="6" s="1"/>
  <c r="D8" i="6"/>
  <c r="J7" i="6"/>
  <c r="G7" i="6"/>
  <c r="F7" i="6"/>
  <c r="D7" i="6"/>
  <c r="J6" i="6"/>
  <c r="G6" i="6"/>
  <c r="F6" i="6"/>
  <c r="D6" i="6"/>
  <c r="J5" i="6"/>
  <c r="G5" i="6"/>
  <c r="F5" i="6"/>
  <c r="D5" i="6"/>
  <c r="J4" i="6"/>
  <c r="G4" i="6"/>
  <c r="F4" i="6"/>
  <c r="E4" i="6" s="1"/>
  <c r="D4" i="6"/>
  <c r="F26" i="6" l="1"/>
  <c r="F25" i="6"/>
  <c r="E7" i="6"/>
  <c r="J12" i="6"/>
  <c r="E10" i="6"/>
  <c r="E5" i="6"/>
  <c r="E6" i="6"/>
  <c r="G12" i="6"/>
  <c r="F12" i="6"/>
  <c r="I11" i="6"/>
  <c r="H11" i="6"/>
  <c r="H9" i="6"/>
  <c r="I9" i="6"/>
  <c r="I4" i="6"/>
  <c r="H8" i="6"/>
  <c r="I8" i="6"/>
  <c r="D12" i="6"/>
  <c r="H4" i="6"/>
  <c r="H7" i="6" l="1"/>
  <c r="I7" i="6"/>
  <c r="H10" i="6"/>
  <c r="I10" i="6"/>
  <c r="H5" i="6"/>
  <c r="I5" i="6"/>
  <c r="E12" i="6"/>
  <c r="H6" i="6"/>
  <c r="I6" i="6"/>
  <c r="I12" i="6" l="1"/>
  <c r="B31" i="6"/>
  <c r="H12" i="6"/>
</calcChain>
</file>

<file path=xl/sharedStrings.xml><?xml version="1.0" encoding="utf-8"?>
<sst xmlns="http://schemas.openxmlformats.org/spreadsheetml/2006/main" count="875" uniqueCount="507">
  <si>
    <t>UC</t>
  </si>
  <si>
    <t>Tên UC</t>
  </si>
  <si>
    <t>UC21</t>
  </si>
  <si>
    <t>Đăng nhập hệ thống</t>
  </si>
  <si>
    <t>Kiệt</t>
  </si>
  <si>
    <t>UC01</t>
  </si>
  <si>
    <t>Tạo và gửi order</t>
  </si>
  <si>
    <t>UC04</t>
  </si>
  <si>
    <t>Cập nhật order (gọi thêm, sửa, hủy món)</t>
  </si>
  <si>
    <t>UC10</t>
  </si>
  <si>
    <t>Thanh toán hóa đơn (UC10.1 tiền mặt, UC10.2 QR giả lập)</t>
  </si>
  <si>
    <t>UC15</t>
  </si>
  <si>
    <t>Hiển thị danh sách đơn hàng (KDS)</t>
  </si>
  <si>
    <t>Duy</t>
  </si>
  <si>
    <t>UC16</t>
  </si>
  <si>
    <t>Cập nhật trạng thái chế biến</t>
  </si>
  <si>
    <t>UC18</t>
  </si>
  <si>
    <t>Đánh dấu hết nguyên liệu</t>
  </si>
  <si>
    <t>UC08</t>
  </si>
  <si>
    <t>Lập hóa đơn</t>
  </si>
  <si>
    <t>Alternative flow</t>
  </si>
  <si>
    <t>TC-10-09</t>
  </si>
  <si>
    <t>ID</t>
  </si>
  <si>
    <t>Tiêu đề</t>
  </si>
  <si>
    <t>Loại</t>
  </si>
  <si>
    <t>Kỹ thuật</t>
  </si>
  <si>
    <t>Truy vết (UC Spec / API)</t>
  </si>
  <si>
    <t>Ưu tiên</t>
  </si>
  <si>
    <t>Pre-condition</t>
  </si>
  <si>
    <t>Dữ liệu test</t>
  </si>
  <si>
    <t>Expected result</t>
  </si>
  <si>
    <t>Actual result</t>
  </si>
  <si>
    <t>Pass/Fail</t>
  </si>
  <si>
    <t>Ảnh bằng chứng</t>
  </si>
  <si>
    <t>Ghi chú / giả định</t>
  </si>
  <si>
    <t>TC-21-01</t>
  </si>
  <si>
    <t>Đăng nhập thành công bằng tài khoản Phục vụ</t>
  </si>
  <si>
    <t>Happy path</t>
  </si>
  <si>
    <t>Functional (main flow)</t>
  </si>
  <si>
    <t>api-contract §3 UC21 (POST /auth/login); UC21 main flow</t>
  </si>
  <si>
    <t>Cao</t>
  </si>
  <si>
    <t>Đã nạp lại schema.sql rồi seed.sql; server đang chạy. phucvu01 đang hoạt động, so_lan_sai = 0.</t>
  </si>
  <si>
    <t>username = phucvu01; password = 123456</t>
  </si>
  <si>
    <t>HTTP 200, success=true. data có token, nhanVienId, hoTen, vaiTro=PHUC_VU, trangChu="/tables.html".
Giao diện chuyển sang màn Sơ đồ bàn.</t>
  </si>
  <si>
    <t>Chưa chạy</t>
  </si>
  <si>
    <t>TC-21-02</t>
  </si>
  <si>
    <t>Điều hướng đúng màn hình theo vai trò (Barista, Thu ngân, Chủ quán)</t>
  </si>
  <si>
    <t>api-contract §3 UC21 (POST /auth/login); BPC H2 (điều hướng theo vai trò)</t>
  </si>
  <si>
    <t>Đã nạp lại schema.sql rồi seed.sql; server đang chạy.</t>
  </si>
  <si>
    <t>barista01, thungan01, chutquan01 ; mật khẩu 123456</t>
  </si>
  <si>
    <t>BARISTA → Màn bếp (KDS). THU_NGAN → POS. CHU_QUAN → trang tổng quan.
vaiTro trong response khớp từng tài khoản.</t>
  </si>
  <si>
    <t>Nếu một vai trò sai thì ghi FAIL và nêu rõ vai trò nào trong Actual.</t>
  </si>
  <si>
    <t>TC-21-03</t>
  </si>
  <si>
    <t>Đăng nhập với mật khẩu sai</t>
  </si>
  <si>
    <t>Negative</t>
  </si>
  <si>
    <t>EP (invalid class: mật khẩu sai)</t>
  </si>
  <si>
    <t>api-contract §3 UC21 (POST /auth/login); mã lỗi SAI_THONG_TIN</t>
  </si>
  <si>
    <t>Đã nạp lại schema.sql rồi seed.sql; server đang chạy. phucvu01 có so_lan_sai = 0.</t>
  </si>
  <si>
    <t>username = phucvu01; password = "saimatkhau"</t>
  </si>
  <si>
    <t>HTTP 401, success=false, maLoi=SAI_THONG_TIN.
Thông báo chung, không chỉ ra sai ô nào. Ở lại trang đăng nhập, không có token.
so_lan_sai của tài khoản tăng thêm 1.</t>
  </si>
  <si>
    <t>TC-21-04</t>
  </si>
  <si>
    <t>Đăng nhập với username không tồn tại</t>
  </si>
  <si>
    <t>EP (invalid class: username không tồn tại)</t>
  </si>
  <si>
    <t>Trung</t>
  </si>
  <si>
    <t>username = "khongtontai"; password = "123456"</t>
  </si>
  <si>
    <t>HTTP 401, maLoi=SAI_THONG_TIN, thông báo giống hệt TC-21-03 (không lộ username có tồn tại hay không).</t>
  </si>
  <si>
    <t>TC-21-05</t>
  </si>
  <si>
    <t>Bỏ trống username hoặc mật khẩu</t>
  </si>
  <si>
    <t>EP (invalid class: dữ liệu rỗng)</t>
  </si>
  <si>
    <t>api-contract §3 UC21 (POST /auth/login); mã lỗi THIEU_THONG_TIN</t>
  </si>
  <si>
    <t>(a) username rỗng, password = 123456
(b) username = phucvu01, password rỗng</t>
  </si>
  <si>
    <t>Giả định: bỏ trống ô không tính vào so_lan_sai [X03].</t>
  </si>
  <si>
    <t>TC-21-06</t>
  </si>
  <si>
    <t>Sai 4 lần liên tiếp: chưa bị khóa, đăng nhập đúng vẫn vào được</t>
  </si>
  <si>
    <t>Boundary</t>
  </si>
  <si>
    <t>BVA (ngưỡng khóa = 5; giá trị 4, sát dưới ngưỡng)</t>
  </si>
  <si>
    <t>api-contract §3 UC21 (POST /auth/login); UC21 EF-1; BPC H2 (sai 5 lần thì khóa)</t>
  </si>
  <si>
    <t>4 lần password sai, sau đó 1 lần password = 123456</t>
  </si>
  <si>
    <t>4 lần đầu: HTTP 401 SAI_THONG_TIN (chưa bị khóa).
Lần đăng nhập đúng: HTTP 200, vào Sơ đồ bàn. so_lan_sai về 0.</t>
  </si>
  <si>
    <t>Giả định: đăng nhập đúng thì reset bộ đếm [X02].</t>
  </si>
  <si>
    <t>TC-21-07</t>
  </si>
  <si>
    <t>Sai 5 lần liên tiếp: tài khoản bị khóa (EF-1)</t>
  </si>
  <si>
    <t>BVA (ngưỡng khóa = 5) + luồng EF-1</t>
  </si>
  <si>
    <t>api-contract §3 UC21 (POST /auth/login); UC21 EF-1; BPC H2</t>
  </si>
  <si>
    <t>5 lần password sai, sau đó 1 lần password = 123456</t>
  </si>
  <si>
    <t>Từ lần sai thứ 5: HTTP 423, maLoi=TAI_KHOAN_BI_KHOA.
Lần thứ 6 dù mật khẩu đúng vẫn HTTP 423, không có token.
CSDL: nhan_vien.trang_thai = 'BI_KHOA', so_lan_sai ≥ 5.</t>
  </si>
  <si>
    <t>Nạp lại schema.sql + seed.sql sau TC này. Giả định lần sai thứ 5 đã trả 423 [X02].</t>
  </si>
  <si>
    <t>TC-21-08</t>
  </si>
  <si>
    <t>Đăng nhập bằng tài khoản đã bị khóa sẵn trong CSDL</t>
  </si>
  <si>
    <t>Black-box theo UC Spec (EF-1)</t>
  </si>
  <si>
    <t>api-contract §3 UC21 (POST /auth/login); UC21 EF-1</t>
  </si>
  <si>
    <t>Thấp</t>
  </si>
  <si>
    <t>Đã nạp lại schema.sql rồi seed.sql; server đang chạy. blocked01 đã bị khóa trong seed.</t>
  </si>
  <si>
    <t>username = blocked01; password đúng</t>
  </si>
  <si>
    <t>HTTP 423, maLoi=TAI_KHOAN_BI_KHOA, thông báo theo báo cáo: "Tài khoản đã bị khóa do nhập sai mật khẩu 5 lần"; không có token.</t>
  </si>
  <si>
    <t>blocked01 trong seed: trang_thai BI_KHOA, so_lan_sai = 5 [X04].</t>
  </si>
  <si>
    <t>TC-21-09</t>
  </si>
  <si>
    <t>Đăng nhập bằng tài khoản bị vô hiệu hóa (EF-2)</t>
  </si>
  <si>
    <t>Black-box theo UC Spec (EF-2)</t>
  </si>
  <si>
    <t>api-contract §3 UC21 (POST /auth/login); UC21 EF-2</t>
  </si>
  <si>
    <t>Đã nạp lại schema.sql rồi seed.sql; server đang chạy. vohieu01 có trang_thai = 'VO_HIEU' (tạo bằng SQL ở sheet "SQL hỗ trợ").</t>
  </si>
  <si>
    <t>username = vohieu01; password đúng</t>
  </si>
  <si>
    <t>HTTP 403, maLoi=TAI_KHOAN_VO_HIEU, thông báo tài khoản bị vô hiệu hóa; không có token.</t>
  </si>
  <si>
    <t>Chạy SQL tạo tài khoản vohieu01 trước TC này (sheet "SQL hỗ trợ") [X04].</t>
  </si>
  <si>
    <t>TC-21-10</t>
  </si>
  <si>
    <t>Gọi API khi chưa đăng nhập</t>
  </si>
  <si>
    <t>EP (invalid class: thiếu token)</t>
  </si>
  <si>
    <t>api-contract §1 (CHUA_DANG_NHAP); BPC H2 (middleware phân quyền)</t>
  </si>
  <si>
    <t>Chưa đăng nhập, không có token.</t>
  </si>
  <si>
    <t>GET http://localhost:3000/api/menu, không có header Authorization</t>
  </si>
  <si>
    <t>HTTP 401, success=false, maLoi=CHUA_DANG_NHAP.</t>
  </si>
  <si>
    <t>Cách gửi token do Hậu chốt [X13].</t>
  </si>
  <si>
    <t>TC-21-11</t>
  </si>
  <si>
    <t>Sai vai trò gọi API bị từ chối</t>
  </si>
  <si>
    <t>EP (invalid class: vai trò không được phép)</t>
  </si>
  <si>
    <t>api-contract §2 (POST /payments chỉ THU_NGAN), §1 (KHONG_CO_QUYEN)</t>
  </si>
  <si>
    <t>Đã đăng nhập phucvu01, có token vai trò PHUC_VU.</t>
  </si>
  <si>
    <t>POST /api/payments với header Authorization của PHUC_VU; body hợp lệ tùy ý</t>
  </si>
  <si>
    <t>HTTP 403, maLoi=KHONG_CO_QUYEN. Không có dữ liệu nào bị thay đổi.</t>
  </si>
  <si>
    <t>Chưa rõ CHU_QUAN có được gọi API gọi món/thanh toán không [X11].</t>
  </si>
  <si>
    <t>TC-01-01</t>
  </si>
  <si>
    <t>Tạo order và gửi bếp thành công</t>
  </si>
  <si>
    <t>SD Tạo order (msg 2–25); api-contract §3 UC01 (POST /orders); UC01 main flow</t>
  </si>
  <si>
    <t>Đã nạp lại schema.sql rồi seed.sql; đã đăng nhập phucvu01. ban-01 (B01) đang TRONG.</t>
  </si>
  <si>
    <t>banId = ban-01 (B01)
mon-02 (Cà phê sữa) x2, ghi chú "ít đá"
mon-04 (Trà đào) x1</t>
  </si>
  <si>
    <t>HTTP 201, success=true. data: trangThai=DANG_PHUC_VU; tongTien = 2×30.000 + 40.000 = 100.000; isSynced=true; mỗi món có chiTietId, donGia đúng, trangThaiCheBien=CHO_PHA_CHE; ghi chú "ít đá" được lưu.
Bàn chuyển DANG_PHUC_VU. CSDL có 1 don_hang và 2 chi_tiet_don tương ứng.</t>
  </si>
  <si>
    <t>TC-01-02</t>
  </si>
  <si>
    <t>Số lượng = 1 (biên dưới hợp lệ)</t>
  </si>
  <si>
    <t>BVA (biên dưới = 1)</t>
  </si>
  <si>
    <t>SD Tạo order (msg 2–25); api-contract §3 UC01 (POST /orders); BPC T3 (số lượng 1–99)</t>
  </si>
  <si>
    <t>banId = ban-01 (B01); mon-02 (Cà phê sữa) soLuong = 1</t>
  </si>
  <si>
    <t>HTTP 201; chi tiết món soLuong=1; tongTien = 30.000; bàn chuyển DANG_PHUC_VU.</t>
  </si>
  <si>
    <t>TC-01-03</t>
  </si>
  <si>
    <t>Số lượng = 99 (biên trên hợp lệ)</t>
  </si>
  <si>
    <t>BVA (biên trên = 99)</t>
  </si>
  <si>
    <t>banId = ban-01 (B01); mon-02 (Cà phê sữa) soLuong = 99</t>
  </si>
  <si>
    <t>HTTP 201; soLuong=99; tongTien = 99×30.000 = 2.970.000; bàn chuyển DANG_PHUC_VU.</t>
  </si>
  <si>
    <t>TC-01-04</t>
  </si>
  <si>
    <t>Số lượng = 0</t>
  </si>
  <si>
    <t>EP (invalid class: số lượng &lt; 1)</t>
  </si>
  <si>
    <t>SD Tạo order (msg 2–25); api-contract §3 UC01 (POST /orders); mã lỗi SO_LUONG_KHONG_HOP_LE</t>
  </si>
  <si>
    <t>banId = ban-01 (B01); mon-02 (Cà phê sữa) soLuong = 0</t>
  </si>
  <si>
    <t>Giao diện không cho gửi hoặc báo lỗi số lượng.
API: HTTP 400, maLoi=SO_LUONG_KHONG_HOP_LE. Không tạo don_hang; bàn vẫn TRONG.</t>
  </si>
  <si>
    <t>TC-01-05</t>
  </si>
  <si>
    <t>Số lượng âm (-1)</t>
  </si>
  <si>
    <t>EP (invalid class: số lượng âm)</t>
  </si>
  <si>
    <t>banId = ban-01 (B01); mon-02 (Cà phê sữa) soLuong = -1</t>
  </si>
  <si>
    <t>Giao diện không cho gửi hoặc báo lỗi.
API: HTTP 400, maLoi=SO_LUONG_KHONG_HOP_LE. Không tạo don_hang; bàn vẫn TRONG.</t>
  </si>
  <si>
    <t>TC-01-06</t>
  </si>
  <si>
    <t>Số lượng = 100 (vượt biên trên), kiểm tra ở server</t>
  </si>
  <si>
    <t>BVA (ngay trên biên 99)</t>
  </si>
  <si>
    <t>SD Tạo order (msg 2–25); api-contract §3 UC01 (POST /orders); BPC T3 (từ chối ở server, không chỉ giao diện)</t>
  </si>
  <si>
    <t>banId = ban-01 (B01); mon-02 (Cà phê sữa) soLuong = 100</t>
  </si>
  <si>
    <t>API: HTTP 400, maLoi=SO_LUONG_KHONG_HOP_LE. Không tạo don_hang; bàn vẫn TRONG.</t>
  </si>
  <si>
    <t>TC-01-07</t>
  </si>
  <si>
    <t>Gọi món đã hết nguyên liệu (TAM_HET)</t>
  </si>
  <si>
    <t>Black-box theo UC Spec (EF: món hết nguyên liệu)</t>
  </si>
  <si>
    <t>SD Tạo order (msg 2–25); api-contract §3 UC01 (POST /orders); BPC T3, H3</t>
  </si>
  <si>
    <t>Đã nạp lại schema.sql rồi seed.sql; đã đăng nhập phucvu01. ban-01 (B01) đang TRONG; mon-03 (Bạc xỉu) ở trạng thái TAM_HET.</t>
  </si>
  <si>
    <t>banId = ban-01 (B01); mon-03 (Bạc xỉu) soLuong = 1</t>
  </si>
  <si>
    <t>Giao diện: món hiện xám, không chọn được.
API: HTTP 409, maLoi=MON_TAM_HET, message dạng "Món … đã hết nguyên liệu" (có tên món). Không tạo đơn; bàn vẫn TRONG.</t>
  </si>
  <si>
    <t>Cần món TAM_HET trong seed [X05].</t>
  </si>
  <si>
    <t>TC-01-08</t>
  </si>
  <si>
    <t>Gọi món ở bàn đang CAN_DON</t>
  </si>
  <si>
    <t>Black-box theo UC Spec (EF: bàn không hợp lệ)</t>
  </si>
  <si>
    <t>Đã nạp lại schema.sql rồi seed.sql; đã đăng nhập phucvu01. ban-05 (B05) đang CAN_DON.</t>
  </si>
  <si>
    <t>banId = ban-05 (B05); mon-02 (Cà phê sữa) soLuong = 1</t>
  </si>
  <si>
    <t>Giao diện: bàn CAN_DON không bấm gọi món được.
API: HTTP 409, maLoi=BAN_CAN_DON. Không tạo đơn; trạng thái bàn giữ nguyên.</t>
  </si>
  <si>
    <t>TC-01-09</t>
  </si>
  <si>
    <t>Tạo order mới cho bàn đang có đơn</t>
  </si>
  <si>
    <t>Black-box theo UC Spec (đề xuất contract §4)</t>
  </si>
  <si>
    <t>api-contract §4 điểm 1 (BAN_DA_CO_DON)</t>
  </si>
  <si>
    <t>Đã nạp lại schema.sql rồi seed.sql; đã đăng nhập phucvu01. ban-03 (B03) đang DANG_PHUC_VU và đã có đơn dh-001.</t>
  </si>
  <si>
    <t>banId = ban-03 (B03); mon-02 (Cà phê sữa) soLuong = 1</t>
  </si>
  <si>
    <t>HTTP 409, maLoi=BAN_DA_CO_DON. Không tạo đơn thứ hai; số don_hang của bàn vẫn là 1.</t>
  </si>
  <si>
    <t>Đề xuất của Tuấn trong contract, chưa chốt [X01]. Nếu chốt khác thì sửa Expected.</t>
  </si>
  <si>
    <t>TC-01-10</t>
  </si>
  <si>
    <t>Bếp không phản hồi sau 5 giây: đơn vẫn lưu, isSynced=false</t>
  </si>
  <si>
    <t>Black-box theo UC Spec (EF: bếp không phản hồi)</t>
  </si>
  <si>
    <t>SD Tạo order (msg 2–25); api-contract §3 UC01 (POST /orders); BPC T3 (guiOrderDenKDS, danhDauChuaDongBo)</t>
  </si>
  <si>
    <t>Đã nạp lại schema.sql rồi seed.sql; đã đăng nhập phucvu01. ban-01 (B01) đang TRONG; bếp (KDS) được giả lập không phản hồi quá 5 giây.</t>
  </si>
  <si>
    <t>banId = ban-01 (B01); mon-02 (Cà phê sữa) soLuong = 1; KDS_TIMEOUT_MS = 5000</t>
  </si>
  <si>
    <t>Sau khoảng 5 giây hệ thống vẫn trả kết quả: HTTP 201, isSynced=false.
Đơn vẫn được lưu; bàn chuyển DANG_PHUC_VU. Giao diện không bị treo.</t>
  </si>
  <si>
    <t>Cách giả lập bếp [X06]; giả định HTTP 201 khi isSynced=false. Đơn tạo ra ở đây dùng làm dh-004 cho TC-10-09.</t>
  </si>
  <si>
    <t>TC-01-11</t>
  </si>
  <si>
    <t>Gửi order khi giỏ hàng rỗng</t>
  </si>
  <si>
    <t>EP (invalid class: danh sách món rỗng)</t>
  </si>
  <si>
    <t>SD Tạo order (msg 2–25); api-contract §3 UC01 (POST /orders); mã lỗi DS_MON_RONG</t>
  </si>
  <si>
    <t>banId = ban-01 (B01); dsMon = []</t>
  </si>
  <si>
    <t>HTTP 400, maLoi=DS_MON_RONG. Không tạo đơn; bàn vẫn TRONG.</t>
  </si>
  <si>
    <t>TC-04-01</t>
  </si>
  <si>
    <t>Gọi thêm món vào đơn đang phục vụ</t>
  </si>
  <si>
    <t>CD_CapNhat (themMon/suaMon/huyMon); api-contract §3 UC04 (POST /orders/:id/items)</t>
  </si>
  <si>
    <t>Đã nạp lại schema.sql rồi seed.sql; đã đăng nhập phucvu01; đơn dh-001 của ban-03 (B03) đang DANG_PHUC_VU, tổng 85.000: ct-001 (Cà phê sữa x2, DANG_LAM), ct-002 (Cà phê đen x1, CHO_PHA_CHE). Tổng tiền hiện tại = 85.000.</t>
  </si>
  <si>
    <t>mon-04 (Trà đào) x1, ghi chú "không đường"</t>
  </si>
  <si>
    <t>HTTP 200. dsMon gồm các món cũ (giữ nguyên trạng thái) và 1 món mới CHO_PHA_CHE; tongTien = 85.000 + 40.000 = 125.000.
Chỉ món mới được gửi xuống bếp (bếp không có bản sao của món cũ).</t>
  </si>
  <si>
    <t>TC-04-02</t>
  </si>
  <si>
    <t>Sửa số lượng món đang CHO_PHA_CHE</t>
  </si>
  <si>
    <t>CD_CapNhat (themMon/suaMon/huyMon); api-contract §3 UC04 (PATCH /orders/:id/items/:chiTietId)</t>
  </si>
  <si>
    <t>Đã nạp lại schema.sql rồi seed.sql; đã đăng nhập phucvu01; đơn dh-001 của ban-03 (B03) đang DANG_PHUC_VU, tổng 85.000: ct-001 (Cà phê sữa x2, DANG_LAM), ct-002 (Cà phê đen x1, CHO_PHA_CHE).</t>
  </si>
  <si>
    <t>ct-002 (Cà phê đen): số lượng 1 → 3</t>
  </si>
  <si>
    <t>HTTP 200. soLuong=3; tongTien = 85.000 + 2×25.000 = 135.000; món vẫn CHO_PHA_CHE.</t>
  </si>
  <si>
    <t>TC-04-03</t>
  </si>
  <si>
    <t>Hủy món đang CHO_PHA_CHE</t>
  </si>
  <si>
    <t>CD_CapNhat (themMon/suaMon/huyMon); api-contract §3 UC04 (DELETE /orders/:id/items/:chiTietId)</t>
  </si>
  <si>
    <t>ct-002</t>
  </si>
  <si>
    <t>HTTP 200. ct-002 chuyển DA_HUY; tongTien = 85.000 − 25.000 = 60.000 (món hủy không tính); món không còn hiện trên màn Bếp.</t>
  </si>
  <si>
    <t>TC-04-04</t>
  </si>
  <si>
    <t>Sửa số lượng = 1 (biên dưới hợp lệ)</t>
  </si>
  <si>
    <t>CD_CapNhat (themMon/suaMon/huyMon); api-contract §3 UC04; BPC T4</t>
  </si>
  <si>
    <t>ct-002: sửa 1 → 2 (chuẩn bị), sau đó 2 → 1</t>
  </si>
  <si>
    <t>Sau bước 3: HTTP 200; soLuong=1; tongTien = 85.000.</t>
  </si>
  <si>
    <t>TC-04-05</t>
  </si>
  <si>
    <t>Sửa số lượng = 99 (biên trên hợp lệ)</t>
  </si>
  <si>
    <t>ct-002: số lượng → 99</t>
  </si>
  <si>
    <t>HTTP 200. soLuong=99; tongTien = 60.000 + 99×25.000 = 2.535.000.</t>
  </si>
  <si>
    <t>TC-04-06</t>
  </si>
  <si>
    <t>Sửa số lượng = 0</t>
  </si>
  <si>
    <t>CD_CapNhat (themMon/suaMon/huyMon); api-contract §3 UC04; mã lỗi SO_LUONG_KHONG_HOP_LE</t>
  </si>
  <si>
    <t>ct-002: soLuong = 0</t>
  </si>
  <si>
    <t>API: HTTP 400, maLoi=SO_LUONG_KHONG_HOP_LE. Số lượng và tongTien không đổi.</t>
  </si>
  <si>
    <t>TC-04-07</t>
  </si>
  <si>
    <t>Sửa số lượng = 100 (vượt biên trên)</t>
  </si>
  <si>
    <t>ct-002: soLuong = 100</t>
  </si>
  <si>
    <t>HTTP 400, maLoi=SO_LUONG_KHONG_HOP_LE. Số lượng và tongTien không đổi.</t>
  </si>
  <si>
    <t>TC-04-08</t>
  </si>
  <si>
    <t>Hủy món đang DANG_LAM bị chặn</t>
  </si>
  <si>
    <t>Black-box theo UC Spec (EF: món đã chế biến)</t>
  </si>
  <si>
    <t>CD_CapNhat (themMon/suaMon/huyMon); api-contract §3 UC04; BPC T4, H3 (ẩn nút hủy)</t>
  </si>
  <si>
    <t>Đã nạp lại schema.sql rồi seed.sql; đã đăng nhập phucvu01; đơn dh-001 của ban-03 (B03) đang DANG_PHUC_VU, tổng 85.000: ct-001 (Cà phê sữa x2, DANG_LAM), ct-002 (Cà phê đen x1, CHO_PHA_CHE). ct-001 đang DANG_LAM.</t>
  </si>
  <si>
    <t>ct-001</t>
  </si>
  <si>
    <t>Giao diện ẩn nút "Hủy" với món DANG_LAM.
API: HTTP 409, maLoi=MON_DA_CHE_BIEN, message rõ ràng. Món vẫn DANG_LAM; tongTien không đổi.</t>
  </si>
  <si>
    <t>[X05]</t>
  </si>
  <si>
    <t>TC-04-09</t>
  </si>
  <si>
    <t>Sửa số lượng món đang DANG_LAM bị chặn</t>
  </si>
  <si>
    <t>ct-001: soLuong = 2</t>
  </si>
  <si>
    <t>HTTP 409, maLoi=MON_DA_CHE_BIEN. Số lượng và tongTien không đổi.</t>
  </si>
  <si>
    <t>TC-04-10</t>
  </si>
  <si>
    <t>Sửa và hủy món đã DA_XONG bị chặn</t>
  </si>
  <si>
    <t>Đã nạp lại schema.sql rồi seed.sql; đã đăng nhập phucvu01; đơn dh-002 của ban-04 (B04) đang HOAN_THANH, gồm ct-003 (Cà phê sữa x2) và ct-004 (Trà đào x1) đều DA_XONG.</t>
  </si>
  <si>
    <t>ct-003 (thuộc dh-002)</t>
  </si>
  <si>
    <t>Cả hai: HTTP 409, maLoi=MON_DA_CHE_BIEN. Món vẫn DA_XONG; tongTien không đổi.</t>
  </si>
  <si>
    <t>TC-04-11</t>
  </si>
  <si>
    <t>Gọi thêm món đã hết nguyên liệu</t>
  </si>
  <si>
    <t>CD_CapNhat (themMon/suaMon/huyMon); api-contract §3 UC04 (MON_TAM_HET như UC01)</t>
  </si>
  <si>
    <t>Đã nạp lại schema.sql rồi seed.sql; đã đăng nhập phucvu01; đơn dh-001 của ban-03 (B03) đang DANG_PHUC_VU, tổng 85.000: ct-001 (Cà phê sữa x2, DANG_LAM), ct-002 (Cà phê đen x1, CHO_PHA_CHE). mon-03 (Bạc xỉu) ở trạng thái TAM_HET.</t>
  </si>
  <si>
    <t>mon-03 (Bạc xỉu) x1</t>
  </si>
  <si>
    <t>Giao diện: món hiện xám, không chọn được.
API: HTTP 409, maLoi=MON_TAM_HET. Đơn không thay đổi.</t>
  </si>
  <si>
    <t>TC-04-12</t>
  </si>
  <si>
    <t>Cập nhật đơn đã thanh toán bị chặn</t>
  </si>
  <si>
    <t>Black-box theo UC Spec (EF: đơn đã thanh toán)</t>
  </si>
  <si>
    <t>CD_CapNhat (themMon/suaMon/huyMon); api-contract §3 UC04; mã lỗi DON_DA_THANH_TOAN</t>
  </si>
  <si>
    <t>Đã nạp lại schema.sql rồi seed.sql; đã đăng nhập phucvu01; dh-003 đã thanh toán.</t>
  </si>
  <si>
    <t>dh-003; mon-02 (Cà phê sữa) x1; chiTietId ct-005</t>
  </si>
  <si>
    <t>Cả ba: HTTP 409, maLoi=DON_DA_THANH_TOAN. Đơn không thay đổi.</t>
  </si>
  <si>
    <t>TC-04-13</t>
  </si>
  <si>
    <t>Sửa món với chiTietId không tồn tại</t>
  </si>
  <si>
    <t>EP (invalid class: id không tồn tại)</t>
  </si>
  <si>
    <t>CD_CapNhat (themMon/suaMon/huyMon); api-contract §3 UC04; mã lỗi MON_TRONG_DON_KHONG_TON_TAI</t>
  </si>
  <si>
    <t>chiTietId = "ct-khongco"</t>
  </si>
  <si>
    <t>HTTP 404, maLoi=MON_TRONG_DON_KHONG_TON_TAI. Đơn không thay đổi.</t>
  </si>
  <si>
    <t>TC-10-01</t>
  </si>
  <si>
    <t>Thanh toán tiền mặt, khách đưa dư tiền (UC10.1)</t>
  </si>
  <si>
    <t>SD_ThanhToan; api-contract §3 UC10 (POST /payments); UC10.1</t>
  </si>
  <si>
    <t>Đã đăng nhập thungan01; đơn dh-002 (ban-04/B04, HOAN_THANH, tổng 100.000, mọi món DA_XONG) chưa thanh toán (vừa nạp lại DB).</t>
  </si>
  <si>
    <t>donHangId = dh-002; phuongThuc = TIEN_MAT; tienKhachDua = 100.000 + 10.000 = 110.000; maGiaoDich mới</t>
  </si>
  <si>
    <t>HTTP 200; thanhCong=true; soTienThanhToan=100.000; tienThoi=10.000; trangThaiDon=DA_THANH_TOAN; trangThaiBan=CAN_DON; daXuLyTruoc=false.
CSDL: don_hang DA_THANH_TOAN, ban CAN_DON, đúng 1 bản ghi thanh_toan.
Giao diện: đóng popup, hiện toast thành công.</t>
  </si>
  <si>
    <t>Nạp lại schema.sql + seed.sql trước TC này (đơn dh-002 chỉ thanh toán được một lần).</t>
  </si>
  <si>
    <t>TC-10-02</t>
  </si>
  <si>
    <t>Tiền khách đưa đúng bằng số cần trả (tiền thối 0)</t>
  </si>
  <si>
    <t>BVA (tienKhachDua = số cần trả)</t>
  </si>
  <si>
    <t>SD_ThanhToan; api-contract §3 UC10 (POST /payments); BPC T6 (tinhTienThoi)</t>
  </si>
  <si>
    <t>phuongThuc = TIEN_MAT; tienKhachDua = 100.000; maGiaoDich mới</t>
  </si>
  <si>
    <t>HTTP 200; thanhCong=true; tienThoi=0; trangThaiDon=DA_THANH_TOAN; trangThaiBan=CAN_DON.</t>
  </si>
  <si>
    <t>TC-10-03</t>
  </si>
  <si>
    <t>Tiền khách đưa thiếu 1.000đ</t>
  </si>
  <si>
    <t>BVA (ngay dưới biên: số cần trả − 1.000)</t>
  </si>
  <si>
    <t>SD_ThanhToan; api-contract §3 UC10 (POST /payments); mã lỗi TIEN_KHONG_DU</t>
  </si>
  <si>
    <t>phuongThuc = TIEN_MAT; tienKhachDua = 100.000 − 1.000 = 99.000; maGiaoDich mới</t>
  </si>
  <si>
    <t>HTTP 400, maLoi=TIEN_KHONG_DU, thông báo "Số tiền khách đưa chưa đủ" hiện dưới ô nhập.
Đơn vẫn DANG_PHUC_VU; bàn không đổi; không có bản ghi thanh_toan mới.</t>
  </si>
  <si>
    <t>TC-10-04</t>
  </si>
  <si>
    <t>Tiền mặt nhưng thiếu tienKhachDua</t>
  </si>
  <si>
    <t>EP (invalid class: thiếu trường bắt buộc)</t>
  </si>
  <si>
    <t>SD_ThanhToan; api-contract §3 UC10 (POST /payments) (tienKhachDua bắt buộc khi TIEN_MAT)</t>
  </si>
  <si>
    <t>phuongThuc = TIEN_MAT; không có tienKhachDua; maGiaoDich mới</t>
  </si>
  <si>
    <t>HTTP 400, maLoi=DU_LIEU_KHONG_HOP_LE. Không ghi dữ liệu nào.</t>
  </si>
  <si>
    <t>Mã lỗi là giả định [X10].</t>
  </si>
  <si>
    <t>TC-10-05</t>
  </si>
  <si>
    <t>Phương thức thanh toán không hợp lệ</t>
  </si>
  <si>
    <t>EP (invalid class: phuongThuc ngoài tập cho phép)</t>
  </si>
  <si>
    <t>SD_ThanhToan; api-contract §3 UC10 (POST /payments); mã lỗi PHUONG_THUC_KHONG_HOP_LE</t>
  </si>
  <si>
    <t>phuongThuc = "THE_TIN_DUNG"; maGiaoDich mới</t>
  </si>
  <si>
    <t>HTTP 400, maLoi=PHUONG_THUC_KHONG_HOP_LE. Không ghi dữ liệu nào.</t>
  </si>
  <si>
    <t>TC-10-06</t>
  </si>
  <si>
    <t>Thanh toán QR giả lập (UC10.2)</t>
  </si>
  <si>
    <t>Functional (UC10.2)</t>
  </si>
  <si>
    <t>SD_ThanhToan; api-contract §3 UC10 (POST /payments); UC10.2</t>
  </si>
  <si>
    <t>donHangId = dh-002; phuongThuc = QR; không gửi tienKhachDua; maGiaoDich mới</t>
  </si>
  <si>
    <t>HTTP 200; thanhCong=true; phuongThuc=QR; trả về maGiaoDich; soTienThanhToan=100.000; trangThaiDon=DA_THANH_TOAN; trangThaiBan=CAN_DON. Không yêu cầu nhập tiền khách đưa.</t>
  </si>
  <si>
    <t>Giá trị tienThoi với QR (0 hay null) chưa rõ [X10]. Nạp lại schema.sql + seed.sql trước TC này (đơn dh-002 chỉ thanh toán được một lần).</t>
  </si>
  <si>
    <t>TC-10-07</t>
  </si>
  <si>
    <t>Bấm xác nhận 2 lần với cùng mã giao dịch</t>
  </si>
  <si>
    <t>Black-box theo UC Spec (EF: thanh toán trùng)</t>
  </si>
  <si>
    <t>SD_ThanhToan; api-contract §3 UC10 (POST /payments); BPC T6 (findByMaGiaoDich), mục 2 (chặn thanh toán trùng mã)</t>
  </si>
  <si>
    <t>maGiaoDich = "gd-test-0001"; phuongThuc = TIEN_MAT; tienKhachDua = 100.000</t>
  </si>
  <si>
    <t>Lần 1: HTTP 200, daXuLyTruoc=false.
Lần 2: HTTP 200, daXuLyTruoc=true, kết quả giống lần 1; không thu tiền lần hai.
CSDL chỉ có 1 bản ghi thanh_toan với maGiaoDich = gd-test-0001.</t>
  </si>
  <si>
    <t>TC-10-08</t>
  </si>
  <si>
    <t>Thanh toán đơn đã thanh toán (mã giao dịch khác)</t>
  </si>
  <si>
    <t>SD_ThanhToan; api-contract §3 UC10 (POST /payments); mã lỗi DON_DA_THANH_TOAN</t>
  </si>
  <si>
    <t>Đã đăng nhập thungan01; dh-003 đã thanh toán.</t>
  </si>
  <si>
    <t>donHangId = dh-003; phuongThuc = TIEN_MAT; tienKhachDua đủ; maGiaoDich mới (mã đã dùng trong seed: GD-20261008-001)</t>
  </si>
  <si>
    <t>HTTP 409, maLoi=DON_DA_THANH_TOAN. Không thêm bản ghi thanh_toan; đơn và bàn giữ nguyên.</t>
  </si>
  <si>
    <t>Thanh toán đơn chưa gửi bếp</t>
  </si>
  <si>
    <t>Black-box theo UC Spec (EF: đơn chưa gửi bếp)</t>
  </si>
  <si>
    <t>SD_ThanhToan; api-contract §3 UC10 (POST /payments); mã lỗi DON_CHUA_GUI_BEP</t>
  </si>
  <si>
    <t>Đã đăng nhập thungan01; dh-004 là đơn có isSynced=false (chạy SQL: UPDATE don_hang SET is_synced = FALSE WHERE id = 'dh-004';).</t>
  </si>
  <si>
    <t>donHangId = dh-004; phuongThuc = TIEN_MAT; tienKhachDua đủ; maGiaoDich mới</t>
  </si>
  <si>
    <t>HTTP 409, maLoi=DON_CHUA_GUI_BEP. Không ghi dữ liệu; đơn dh-004 vẫn DANG_PHUC_VU; trạng thái bàn ban-06 giữ nguyên (seed đang để CAN_DON).</t>
  </si>
  <si>
    <t>Có thể tạo đơn chưa đồng bộ từ TC-01-10 [X06]. Lưu ý seed: dh-004 có tong_tien 70.000 gồm cả món DA_HUY 30.000 [X16].</t>
  </si>
  <si>
    <t>TC-10-10</t>
  </si>
  <si>
    <t>Lỗi giữa chừng: rollback cả 3 thao tác ghi</t>
  </si>
  <si>
    <t>Black-box theo UC Spec (EF: lỗi hệ thống)</t>
  </si>
  <si>
    <t>SD_ThanhToan; api-contract §3 UC10 (POST /payments); BPC T6 (3 thao tác ghi trong 1 transaction)</t>
  </si>
  <si>
    <t>Đã đăng nhập thungan01; đơn dh-002 (ban-04/B04, HOAN_THANH, tổng 100.000, mọi món DA_XONG) chưa thanh toán (vừa nạp lại DB). Có cách ép một trong 3 thao tác ghi bị lỗi (cách làm do Tuấn xác nhận).</t>
  </si>
  <si>
    <t>donHangId = dh-002; phuongThuc = TIEN_MAT; tienKhachDua = 100.000</t>
  </si>
  <si>
    <t>API trả lỗi (giả định HTTP 500, maLoi=LOI_HE_THONG).
Rollback toàn bộ: không có bản ghi thanh_toan mới; đơn vẫn DANG_PHUC_VU; bàn vẫn DANG_PHUC_VU (không có dữ liệu nửa vời).</t>
  </si>
  <si>
    <t>Cách ép lỗi [X07]. Nạp lại schema.sql + seed.sql trước TC này (đơn dh-002 chỉ thanh toán được một lần).</t>
  </si>
  <si>
    <t>TC-10-11</t>
  </si>
  <si>
    <t>Nút "Xác nhận" bị khóa khi đang xử lý (chống bấm 2 lần)</t>
  </si>
  <si>
    <t>Phi chức năng</t>
  </si>
  <si>
    <t>UI: chống thao tác trùng</t>
  </si>
  <si>
    <t>BPC H4 (khóa nút khi đang xử lý; maGiaoDich tạo 1 lần mỗi lượt)</t>
  </si>
  <si>
    <t>phuongThuc = TIEN_MAT; tienKhachDua = 100.000</t>
  </si>
  <si>
    <t>Nút bị khóa ngay khi đang xử lý; chỉ 1 request POST /api/payments được gửi (nếu có 2 thì cùng maGiaoDich).
CSDL chỉ có 1 bản ghi thanh_toan. Popup đóng, giỏ được xóa, hiện toast thành công.</t>
  </si>
  <si>
    <t>Tên nút theo giao diện của Hậu, cập nhật khi nhận bản 07/10 [X14]. Nạp lại schema.sql + seed.sql trước TC này (đơn dh-002 chỉ thanh toán được một lần).</t>
  </si>
  <si>
    <t>TC-15-01</t>
  </si>
  <si>
    <t>Hiển thị đúng thứ tự FIFO</t>
  </si>
  <si>
    <t>Functional</t>
  </si>
  <si>
    <t>UC15 main flow</t>
  </si>
  <si>
    <t>Đã chạy reset_db</t>
  </si>
  <si>
    <t>3 Order gửi cách nhau 1 phút</t>
  </si>
  <si>
    <t>HTTP 200. Màn hình KDS hiển thị 3 thẻ Order xếp đúng thứ tự FIFO (Order A trên cùng).</t>
  </si>
  <si>
    <t>TC-15-02</t>
  </si>
  <si>
    <t>Hiển thị trạng thái màn hình rỗng</t>
  </si>
  <si>
    <t>UC15 alt flow</t>
  </si>
  <si>
    <t>Quán chưa có order nào</t>
  </si>
  <si>
    <t>N/A</t>
  </si>
  <si>
    <t>HTTP 200. Danh sách rỗng, giao diện hiện trạng thái "Chưa có order".</t>
  </si>
  <si>
    <t>TC-15-03</t>
  </si>
  <si>
    <t>Hiển thị ghi chú đặc biệt</t>
  </si>
  <si>
    <t>Phục vụ gửi order có ghi chú</t>
  </si>
  <si>
    <t>"Ít đá, không đường"</t>
  </si>
  <si>
    <t>HTTP 200. Ghi chú "Ít đá, không đường" được in đậm/nổi bật trên thẻ tương ứng.</t>
  </si>
  <si>
    <t>TC-15-04</t>
  </si>
  <si>
    <t>Màn hình KDS tự động làm mới</t>
  </si>
  <si>
    <t>NFR: Realtime</t>
  </si>
  <si>
    <t>Màn hình KDS đang mở</t>
  </si>
  <si>
    <t>KDS tự động fetch API (mỗi 3s) và hiển thị Order mới không cần tải lại trang F5.</t>
  </si>
  <si>
    <t>TC-15-05</t>
  </si>
  <si>
    <t>Cảnh báo khi mất kết nối mạng</t>
  </si>
  <si>
    <t>Error Guessing</t>
  </si>
  <si>
    <t>NFR: Resilience</t>
  </si>
  <si>
    <t>KDS đang mở</t>
  </si>
  <si>
    <t>Ngắt mạng</t>
  </si>
  <si>
    <t>Giao diện hiện toast thông báo "Mất kết nối".</t>
  </si>
  <si>
    <t>TC-16-01</t>
  </si>
  <si>
    <t>Chuyển trạng thái món hợp lệ</t>
  </si>
  <si>
    <t>UC16 main flow</t>
  </si>
  <si>
    <t>KDS có Order chờ ở CHO_PHA_CHE</t>
  </si>
  <si>
    <t>HTTP 200. Trạng thái món chuyển đổi thành công trên giao diện và CSDL sau mỗi lần bấm.</t>
  </si>
  <si>
    <t>TC-16-02</t>
  </si>
  <si>
    <t>Tự động hoàn thành Order</t>
  </si>
  <si>
    <t>Order có nhiều món, các món khác đã DA_XONG</t>
  </si>
  <si>
    <t>HTTP 200. Trạng thái của toàn bộ Đơn hàng tự động chuyển từ DANG_PHUC_VU sang HOAN_THANH.</t>
  </si>
  <si>
    <t>TC-16-03</t>
  </si>
  <si>
    <t>Nhảy cóc trạng thái trái phép</t>
  </si>
  <si>
    <t>UC16 exception</t>
  </si>
  <si>
    <t>Món đang ở CHO_PHA_CHE</t>
  </si>
  <si>
    <t>HTTP 400, maloi=TRANG_THAI_KHONG_HOP_LE. Hệ thống chặn thao tác.</t>
  </si>
  <si>
    <t>TC-16-04</t>
  </si>
  <si>
    <t>Lùi trạng thái trái phép</t>
  </si>
  <si>
    <t>Món đang ở DA_XONG</t>
  </si>
  <si>
    <t>HTTP 400. API từ chối cập nhật lùi trái phép.</t>
  </si>
  <si>
    <t>Có thể dùng Postman ép lỗi.</t>
  </si>
  <si>
    <t>TC-16-05</t>
  </si>
  <si>
    <t>Thao tác trên món đã bị hủy</t>
  </si>
  <si>
    <t>Order có món bị hủy (DA_HUY)</t>
  </si>
  <si>
    <t>Giao diện: nút bị khóa. Nếu gọi API thẳng sẽ trả HTTP 400.</t>
  </si>
  <si>
    <t>TC-16-06</t>
  </si>
  <si>
    <t>Hoàn tác trạng thái món</t>
  </si>
  <si>
    <t>UC16 alt flow</t>
  </si>
  <si>
    <t>Món vừa chuyển sang DANG_LAM</t>
  </si>
  <si>
    <t>HTTP 200. Trạng thái lùi đúng 1 bước về lại CHO_PHA_CHE.</t>
  </si>
  <si>
    <t>TC-18-01</t>
  </si>
  <si>
    <t>Cập nhật tồn kho bình thường</t>
  </si>
  <si>
    <t>UC18 main flow</t>
  </si>
  <si>
    <t>Tồn kho = 10</t>
  </si>
  <si>
    <t>HTTP 200. Hệ thống lưu thành công, món ăn liên quan hiển thị trạng thái đang bán bình thường.</t>
  </si>
  <si>
    <t>TC-18-02</t>
  </si>
  <si>
    <t>Khóa món tự động khi tồn kho = 0</t>
  </si>
  <si>
    <t>BVA</t>
  </si>
  <si>
    <t>Tồn kho = 0</t>
  </si>
  <si>
    <t>HTTP 200. Các món sử dụng Cà phê tự động khóa (chuyển sang TAM_HET), giao diện chuyển xám.</t>
  </si>
  <si>
    <t>Giá trị biên 0.</t>
  </si>
  <si>
    <t>TC-18-03</t>
  </si>
  <si>
    <t>Nhập tồn kho là số âm</t>
  </si>
  <si>
    <t>UC18 exception</t>
  </si>
  <si>
    <t>Tồn kho = -5</t>
  </si>
  <si>
    <t>HTTP 400, maloi=SO_LUONG_KHONG_HOP_LE. Hệ thống chặn cập nhật, thông báo lỗi không được nhập số âm.</t>
  </si>
  <si>
    <t>TC-18-04</t>
  </si>
  <si>
    <t>Bỏ trống ô nhập tồn kho</t>
  </si>
  <si>
    <t>EP</t>
  </si>
  <si>
    <t>Tồn kho = rỗng</t>
  </si>
  <si>
    <t>HTTP 400, maloi=THIEU_THONG_TIN. Hệ thống báo lỗi yêu cầu nhập dữ liệu hợp lệ.</t>
  </si>
  <si>
    <t>TC-18-05</t>
  </si>
  <si>
    <t>Mở bán lại khi nhập thêm hàng</t>
  </si>
  <si>
    <t>UC18 alt flow</t>
  </si>
  <si>
    <t>Món Cà phê đang bị khóa (TAM_HET)</t>
  </si>
  <si>
    <t>Tồn kho = 50</t>
  </si>
  <si>
    <t>HTTP 200. Tồn kho cập nhật, món Cà phê tự động mở bán trở lại.</t>
  </si>
  <si>
    <t>Kiểm tra logic nối với màn gọi món.</t>
  </si>
  <si>
    <t>TC-08-01</t>
  </si>
  <si>
    <t>Lập hóa đơn bình thường</t>
  </si>
  <si>
    <t>UC08 main flow</t>
  </si>
  <si>
    <t>Bàn 01 có đơn, các món đã gửi bếp</t>
  </si>
  <si>
    <t>Bàn = 01</t>
  </si>
  <si>
    <t>HTTP 200. Trả về HoaDonDTO: ds món, tổng tiền, giảm giá=0, cần thanh toán=tổng tiền.</t>
  </si>
  <si>
    <t>TC-08-02</t>
  </si>
  <si>
    <t>Lập hóa đơn cho bàn trống</t>
  </si>
  <si>
    <t>UC08 exception</t>
  </si>
  <si>
    <t>Bàn 02 chưa có khách (TRONG)</t>
  </si>
  <si>
    <t>Bàn = 02</t>
  </si>
  <si>
    <t>HTTP 400, maloi=BAN_KHONG_CO_DON. Hệ thống chặn.</t>
  </si>
  <si>
    <t>TC-08-03</t>
  </si>
  <si>
    <t>Lập hóa đơn khi có món chưa gửi</t>
  </si>
  <si>
    <t>Bàn 03 có món vừa chọn nhưng CHƯA gửi bếp</t>
  </si>
  <si>
    <t>Bàn = 03</t>
  </si>
  <si>
    <t>HTTP 400, maloi=DON_CHUA_GUI_BEP.</t>
  </si>
  <si>
    <t>TC-08-04</t>
  </si>
  <si>
    <t>Lập hóa đơn có mã giảm giá</t>
  </si>
  <si>
    <t>UC08 alt flow</t>
  </si>
  <si>
    <t>Đơn hàng áp dụng khuyến mãi 10%</t>
  </si>
  <si>
    <t>giamGia=10</t>
  </si>
  <si>
    <t>HTTP 200. HoaDonDTO tính chính xác: Cần thanh toán = Tổng tiền - Giảm giá.</t>
  </si>
  <si>
    <t>TC-08-05</t>
  </si>
  <si>
    <t>Lập hóa đơn giá trị cực lớn</t>
  </si>
  <si>
    <t>UC08 boundary</t>
  </si>
  <si>
    <t>Bàn VIP gọi nhiều món</t>
  </si>
  <si>
    <t>Tổng &gt; 10 triệu</t>
  </si>
  <si>
    <t>HTTP 200. Giao diện hiển thị không bị tràn, định dạng đúng tiền tệ (VNĐ).</t>
  </si>
  <si>
    <t>TC-08-06</t>
  </si>
  <si>
    <t>Hiển thị Popup xác nhận thanh toán</t>
  </si>
  <si>
    <t>Đang xem hóa đơn hợp lệ</t>
  </si>
  <si>
    <t>Popup thanh toán hiện ra với đúng tổng tiền cần thu từ HoaDonDTO.</t>
  </si>
  <si>
    <t>Bug ID</t>
  </si>
  <si>
    <t>Related TC</t>
  </si>
  <si>
    <t>Mô tả lỗi</t>
  </si>
  <si>
    <t>Bước tái hiện</t>
  </si>
  <si>
    <t>Kết quả thực tế</t>
  </si>
  <si>
    <t>Kết quả mong đợi</t>
  </si>
  <si>
    <t>Mức độ nghiêm trọng</t>
  </si>
  <si>
    <t>Người sửa</t>
  </si>
  <si>
    <t>Trạng thái</t>
  </si>
  <si>
    <t>Kết quả retest</t>
  </si>
  <si>
    <t>High</t>
  </si>
  <si>
    <t>TỔNG HỢP KẾT QUẢ KIỂM THỬ</t>
  </si>
  <si>
    <t>Người test</t>
  </si>
  <si>
    <t>Tổng TC</t>
  </si>
  <si>
    <t>Đã chạy</t>
  </si>
  <si>
    <t>PASS</t>
  </si>
  <si>
    <t>FAIL</t>
  </si>
  <si>
    <t>Tỉ lệ pass (%)</t>
  </si>
  <si>
    <t>Số bug</t>
  </si>
  <si>
    <t>TỔNG</t>
  </si>
  <si>
    <t>Toàn nhóm (8 UC)</t>
  </si>
  <si>
    <t>1. Theo loại test case</t>
  </si>
  <si>
    <t>2. Bug theo mức độ nghiêm trọng</t>
  </si>
  <si>
    <t>Mức độ</t>
  </si>
  <si>
    <t>Đã sửa</t>
  </si>
  <si>
    <t>Chưa sửa</t>
  </si>
  <si>
    <t>Critical</t>
  </si>
  <si>
    <t>Medium</t>
  </si>
  <si>
    <t>Low</t>
  </si>
  <si>
    <t>3. Khung báo cáo kết quả (mẫu C6-D2), điền ở K4 trước 21:00 09/10</t>
  </si>
  <si>
    <t>Tổng hợp số liệu</t>
  </si>
  <si>
    <t>Lỗi nghiêm trọng nhất</t>
  </si>
  <si>
    <t>Phân tích nguyên nhân</t>
  </si>
  <si>
    <t>Hướng sửa (method / file)</t>
  </si>
  <si>
    <t>Nhận xét về độ bao phủ</t>
  </si>
  <si>
    <t>Http: 200, success = True,  data trả về có token, nhanvienID='nv-001', hoTen="Nguyễn Văn Phục Vụ"vaiTro="PHUC_VU", trangChu="/tables.html". Giao diện chuyển hướng thành công sang màn Sơ đồ bàn</t>
  </si>
  <si>
    <t>Pass</t>
  </si>
  <si>
    <t>KQ-test\TC-21-01.png</t>
  </si>
  <si>
    <t>Đăng nhập thành công cả 3 tài khoản và đã điều hướng đúng màn hình của từng tài khoản</t>
  </si>
  <si>
    <t>KQ-test\TC-21-02.pdf</t>
  </si>
  <si>
    <t>KQ-test\TC-21-03.png</t>
  </si>
  <si>
    <t>success: false, "data": null, "maLoi": "SAI_THONG_TIN", "message": "Sai tên đăng nhập hoặc mật khẩu" } ở lại trang đăng nhập, solansai có tăng lên 1 và khi đăng nhập đúng thì solansai về lại 0</t>
  </si>
  <si>
    <t>Lỗi hiện ngay dưới ô còn thiếu; không đăng nhập.</t>
  </si>
  <si>
    <t>KQ-test\TC-21-05.png</t>
  </si>
  <si>
    <t>hiển thị lỗi màu đỏ trực tiếp dưới ô input ("Vui lòng nhập tên đăng nhập" / "Vui lòng nhập mật khẩu"), và không tính số lần sai</t>
  </si>
  <si>
    <t>KQ-test\TC-21-06.png</t>
  </si>
  <si>
    <t>4 lần đầu đăng nhập sai vẫn chưa bị khóa đến lần 5 đăng nhập đúng vào đúng màn hình. Và solansai cũng về 0.</t>
  </si>
  <si>
    <t>sai lần thứ 5 tài khoản đã bị khóa với HTTP 423 và lần thứ 6 nhập đúng cũng HTTP 423</t>
  </si>
  <si>
    <t>KQ-test\TC-21-07.png</t>
  </si>
  <si>
    <t>HTTP 403 Forbidden, thông báo đỏ tài khoản đã bị vô hiệu hóa, vui lòng liên hệ chủ quán</t>
  </si>
  <si>
    <t>KQ-test\TC-21-09.png</t>
  </si>
  <si>
    <t>KQ-test\TC-01-01.png</t>
  </si>
  <si>
    <t>KQ-test\TC-01-02.png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</si>
</sst>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1"/>
      <color rgb="FF1F3864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C55A11"/>
        <bgColor rgb="FFED7D3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2" fillId="3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5" fillId="0" borderId="0" xfId="0" applyFont="1"/>
    <xf numFmtId="0" fontId="6" fillId="0" borderId="1" xfId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color rgb="FF7F7F7F"/>
        <name val="Arial"/>
        <charset val="1"/>
      </font>
      <fill>
        <patternFill>
          <bgColor rgb="FFEDEDE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ED7D31"/>
      <rgbColor rgb="FF666699"/>
      <rgbColor rgb="FF969696"/>
      <rgbColor rgb="FF1F3864"/>
      <rgbColor rgb="FF339966"/>
      <rgbColor rgb="FF003300"/>
      <rgbColor rgb="FF333300"/>
      <rgbColor rgb="FFC55A1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KQ-test\TC-01-01.png" TargetMode="External"/><Relationship Id="rId3" Type="http://schemas.openxmlformats.org/officeDocument/2006/relationships/hyperlink" Target="KQ-test\TC-21-03.png" TargetMode="External"/><Relationship Id="rId7" Type="http://schemas.openxmlformats.org/officeDocument/2006/relationships/hyperlink" Target="KQ-test\TC-21-09.png" TargetMode="External"/><Relationship Id="rId2" Type="http://schemas.openxmlformats.org/officeDocument/2006/relationships/hyperlink" Target="KQ-test\TC-21-02.pdf" TargetMode="External"/><Relationship Id="rId1" Type="http://schemas.openxmlformats.org/officeDocument/2006/relationships/hyperlink" Target="KQ-test\TC-21-01.png" TargetMode="External"/><Relationship Id="rId6" Type="http://schemas.openxmlformats.org/officeDocument/2006/relationships/hyperlink" Target="KQ-test\TC-21-07.png" TargetMode="External"/><Relationship Id="rId5" Type="http://schemas.openxmlformats.org/officeDocument/2006/relationships/hyperlink" Target="KQ-test\TC-21-06.png" TargetMode="External"/><Relationship Id="rId4" Type="http://schemas.openxmlformats.org/officeDocument/2006/relationships/hyperlink" Target="KQ-test\TC-21-05.png" TargetMode="External"/><Relationship Id="rId9" Type="http://schemas.openxmlformats.org/officeDocument/2006/relationships/hyperlink" Target="KQ-test\TC-01-02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N69"/>
  <sheetViews>
    <sheetView tabSelected="1" zoomScale="90" zoomScaleNormal="90" workbookViewId="0">
      <pane xSplit="3" ySplit="1" topLeftCell="I8" activePane="bottomRight" state="frozen"/>
      <selection pane="topRight" activeCell="D1" sqref="D1"/>
      <selection pane="bottomLeft" activeCell="A3" sqref="A3"/>
      <selection pane="bottomRight" activeCell="A10" sqref="A10"/>
    </sheetView>
  </sheetViews>
  <sheetFormatPr defaultColWidth="8.7109375" defaultRowHeight="15" x14ac:dyDescent="0.25"/>
  <cols>
    <col min="1" max="1" width="11" customWidth="1"/>
    <col min="2" max="2" width="8" customWidth="1"/>
    <col min="3" max="3" width="34" customWidth="1"/>
    <col min="4" max="4" width="15" customWidth="1"/>
    <col min="5" max="5" width="24" customWidth="1"/>
    <col min="6" max="6" width="30" customWidth="1"/>
    <col min="7" max="7" width="9" customWidth="1"/>
    <col min="8" max="8" width="32" customWidth="1"/>
    <col min="9" max="9" width="34" customWidth="1"/>
    <col min="10" max="10" width="52" customWidth="1"/>
    <col min="11" max="11" width="49" customWidth="1"/>
    <col min="12" max="12" width="12" customWidth="1"/>
    <col min="13" max="13" width="20" customWidth="1"/>
    <col min="14" max="14" width="34" customWidth="1"/>
  </cols>
  <sheetData>
    <row r="1" spans="1:14" ht="31.5" customHeight="1" x14ac:dyDescent="0.25">
      <c r="A1" s="4" t="s">
        <v>22</v>
      </c>
      <c r="B1" s="4" t="s">
        <v>0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8" t="s">
        <v>31</v>
      </c>
      <c r="L1" s="8" t="s">
        <v>32</v>
      </c>
      <c r="M1" s="8" t="s">
        <v>33</v>
      </c>
      <c r="N1" s="4" t="s">
        <v>34</v>
      </c>
    </row>
    <row r="2" spans="1:14" ht="51" x14ac:dyDescent="0.25">
      <c r="A2" s="5" t="s">
        <v>35</v>
      </c>
      <c r="B2" s="6" t="s">
        <v>2</v>
      </c>
      <c r="C2" s="1" t="s">
        <v>36</v>
      </c>
      <c r="D2" s="1" t="s">
        <v>37</v>
      </c>
      <c r="E2" s="1" t="s">
        <v>38</v>
      </c>
      <c r="F2" s="1" t="s">
        <v>39</v>
      </c>
      <c r="G2" s="6" t="s">
        <v>40</v>
      </c>
      <c r="H2" s="1" t="s">
        <v>41</v>
      </c>
      <c r="I2" s="1" t="s">
        <v>42</v>
      </c>
      <c r="J2" s="1" t="s">
        <v>43</v>
      </c>
      <c r="K2" s="1" t="s">
        <v>489</v>
      </c>
      <c r="L2" s="6" t="s">
        <v>490</v>
      </c>
      <c r="M2" s="14" t="s">
        <v>491</v>
      </c>
      <c r="N2" s="1"/>
    </row>
    <row r="3" spans="1:14" ht="38.25" x14ac:dyDescent="0.25">
      <c r="A3" s="5" t="s">
        <v>45</v>
      </c>
      <c r="B3" s="6" t="s">
        <v>2</v>
      </c>
      <c r="C3" s="1" t="s">
        <v>46</v>
      </c>
      <c r="D3" s="1" t="s">
        <v>37</v>
      </c>
      <c r="E3" s="1" t="s">
        <v>38</v>
      </c>
      <c r="F3" s="1" t="s">
        <v>47</v>
      </c>
      <c r="G3" s="6" t="s">
        <v>40</v>
      </c>
      <c r="H3" s="1" t="s">
        <v>48</v>
      </c>
      <c r="I3" s="1" t="s">
        <v>49</v>
      </c>
      <c r="J3" s="1" t="s">
        <v>50</v>
      </c>
      <c r="K3" s="1" t="s">
        <v>492</v>
      </c>
      <c r="L3" s="6" t="s">
        <v>490</v>
      </c>
      <c r="M3" s="14" t="s">
        <v>493</v>
      </c>
      <c r="N3" s="1" t="s">
        <v>51</v>
      </c>
    </row>
    <row r="4" spans="1:14" ht="51" x14ac:dyDescent="0.25">
      <c r="A4" s="5" t="s">
        <v>52</v>
      </c>
      <c r="B4" s="6" t="s">
        <v>2</v>
      </c>
      <c r="C4" s="1" t="s">
        <v>53</v>
      </c>
      <c r="D4" s="1" t="s">
        <v>54</v>
      </c>
      <c r="E4" s="1" t="s">
        <v>55</v>
      </c>
      <c r="F4" s="1" t="s">
        <v>56</v>
      </c>
      <c r="G4" s="6" t="s">
        <v>40</v>
      </c>
      <c r="H4" s="1" t="s">
        <v>57</v>
      </c>
      <c r="I4" s="1" t="s">
        <v>58</v>
      </c>
      <c r="J4" s="1" t="s">
        <v>59</v>
      </c>
      <c r="K4" s="1" t="s">
        <v>495</v>
      </c>
      <c r="L4" s="6" t="s">
        <v>490</v>
      </c>
      <c r="M4" s="14" t="s">
        <v>494</v>
      </c>
      <c r="N4" s="1"/>
    </row>
    <row r="5" spans="1:14" ht="51" x14ac:dyDescent="0.25">
      <c r="A5" s="5" t="s">
        <v>66</v>
      </c>
      <c r="B5" s="6" t="s">
        <v>2</v>
      </c>
      <c r="C5" s="1" t="s">
        <v>67</v>
      </c>
      <c r="D5" s="1" t="s">
        <v>54</v>
      </c>
      <c r="E5" s="1" t="s">
        <v>68</v>
      </c>
      <c r="F5" s="1" t="s">
        <v>69</v>
      </c>
      <c r="G5" s="6" t="s">
        <v>40</v>
      </c>
      <c r="H5" s="1" t="s">
        <v>48</v>
      </c>
      <c r="I5" s="1" t="s">
        <v>70</v>
      </c>
      <c r="J5" s="1" t="s">
        <v>496</v>
      </c>
      <c r="K5" s="1" t="s">
        <v>498</v>
      </c>
      <c r="L5" s="6" t="s">
        <v>490</v>
      </c>
      <c r="M5" s="14" t="s">
        <v>497</v>
      </c>
      <c r="N5" s="1" t="s">
        <v>71</v>
      </c>
    </row>
    <row r="6" spans="1:14" ht="38.25" x14ac:dyDescent="0.25">
      <c r="A6" s="5" t="s">
        <v>72</v>
      </c>
      <c r="B6" s="6" t="s">
        <v>2</v>
      </c>
      <c r="C6" s="1" t="s">
        <v>73</v>
      </c>
      <c r="D6" s="1" t="s">
        <v>74</v>
      </c>
      <c r="E6" s="1" t="s">
        <v>75</v>
      </c>
      <c r="F6" s="1" t="s">
        <v>76</v>
      </c>
      <c r="G6" s="6" t="s">
        <v>40</v>
      </c>
      <c r="H6" s="1" t="s">
        <v>57</v>
      </c>
      <c r="I6" s="1" t="s">
        <v>77</v>
      </c>
      <c r="J6" s="1" t="s">
        <v>78</v>
      </c>
      <c r="K6" s="1" t="s">
        <v>500</v>
      </c>
      <c r="L6" s="6" t="s">
        <v>490</v>
      </c>
      <c r="M6" s="14" t="s">
        <v>499</v>
      </c>
      <c r="N6" s="1" t="s">
        <v>79</v>
      </c>
    </row>
    <row r="7" spans="1:14" ht="63.75" x14ac:dyDescent="0.25">
      <c r="A7" s="5" t="s">
        <v>80</v>
      </c>
      <c r="B7" s="6" t="s">
        <v>2</v>
      </c>
      <c r="C7" s="1" t="s">
        <v>81</v>
      </c>
      <c r="D7" s="1" t="s">
        <v>74</v>
      </c>
      <c r="E7" s="1" t="s">
        <v>82</v>
      </c>
      <c r="F7" s="1" t="s">
        <v>83</v>
      </c>
      <c r="G7" s="6" t="s">
        <v>40</v>
      </c>
      <c r="H7" s="1" t="s">
        <v>57</v>
      </c>
      <c r="I7" s="1" t="s">
        <v>84</v>
      </c>
      <c r="J7" s="1" t="s">
        <v>85</v>
      </c>
      <c r="K7" s="1" t="s">
        <v>501</v>
      </c>
      <c r="L7" s="6" t="s">
        <v>490</v>
      </c>
      <c r="M7" s="14" t="s">
        <v>502</v>
      </c>
      <c r="N7" s="1" t="s">
        <v>86</v>
      </c>
    </row>
    <row r="8" spans="1:14" ht="51" x14ac:dyDescent="0.25">
      <c r="A8" s="5" t="s">
        <v>96</v>
      </c>
      <c r="B8" s="6" t="s">
        <v>2</v>
      </c>
      <c r="C8" s="1" t="s">
        <v>97</v>
      </c>
      <c r="D8" s="1" t="s">
        <v>20</v>
      </c>
      <c r="E8" s="1" t="s">
        <v>98</v>
      </c>
      <c r="F8" s="1" t="s">
        <v>99</v>
      </c>
      <c r="G8" s="6" t="s">
        <v>40</v>
      </c>
      <c r="H8" s="1" t="s">
        <v>100</v>
      </c>
      <c r="I8" s="1" t="s">
        <v>101</v>
      </c>
      <c r="J8" s="1" t="s">
        <v>102</v>
      </c>
      <c r="K8" s="1" t="s">
        <v>503</v>
      </c>
      <c r="L8" s="6" t="s">
        <v>490</v>
      </c>
      <c r="M8" s="14" t="s">
        <v>504</v>
      </c>
      <c r="N8" s="1" t="s">
        <v>103</v>
      </c>
    </row>
    <row r="9" spans="1:14" ht="89.25" x14ac:dyDescent="0.25">
      <c r="A9" s="5" t="s">
        <v>120</v>
      </c>
      <c r="B9" s="6" t="s">
        <v>5</v>
      </c>
      <c r="C9" s="1" t="s">
        <v>121</v>
      </c>
      <c r="D9" s="1" t="s">
        <v>37</v>
      </c>
      <c r="E9" s="1" t="s">
        <v>38</v>
      </c>
      <c r="F9" s="1" t="s">
        <v>122</v>
      </c>
      <c r="G9" s="6" t="s">
        <v>40</v>
      </c>
      <c r="H9" s="1" t="s">
        <v>123</v>
      </c>
      <c r="I9" s="1" t="s">
        <v>124</v>
      </c>
      <c r="J9" s="1" t="s">
        <v>125</v>
      </c>
      <c r="K9" s="1" t="s">
        <v>125</v>
      </c>
      <c r="L9" s="6" t="s">
        <v>490</v>
      </c>
      <c r="M9" s="14" t="s">
        <v>505</v>
      </c>
      <c r="N9" s="1"/>
    </row>
    <row r="10" spans="1:14" ht="38.25" x14ac:dyDescent="0.25">
      <c r="A10" s="5" t="s">
        <v>126</v>
      </c>
      <c r="B10" s="6" t="s">
        <v>5</v>
      </c>
      <c r="C10" s="1" t="s">
        <v>127</v>
      </c>
      <c r="D10" s="1" t="s">
        <v>74</v>
      </c>
      <c r="E10" s="1" t="s">
        <v>128</v>
      </c>
      <c r="F10" s="1" t="s">
        <v>129</v>
      </c>
      <c r="G10" s="6" t="s">
        <v>40</v>
      </c>
      <c r="H10" s="1" t="s">
        <v>123</v>
      </c>
      <c r="I10" s="1" t="s">
        <v>130</v>
      </c>
      <c r="J10" s="1" t="s">
        <v>131</v>
      </c>
      <c r="K10" s="1" t="s">
        <v>131</v>
      </c>
      <c r="L10" s="6" t="s">
        <v>490</v>
      </c>
      <c r="M10" s="14" t="s">
        <v>506</v>
      </c>
      <c r="N10" s="1"/>
    </row>
    <row r="11" spans="1:14" ht="38.25" x14ac:dyDescent="0.25">
      <c r="A11" s="5" t="s">
        <v>132</v>
      </c>
      <c r="B11" s="6" t="s">
        <v>5</v>
      </c>
      <c r="C11" s="1" t="s">
        <v>133</v>
      </c>
      <c r="D11" s="1" t="s">
        <v>74</v>
      </c>
      <c r="E11" s="1" t="s">
        <v>134</v>
      </c>
      <c r="F11" s="1" t="s">
        <v>129</v>
      </c>
      <c r="G11" s="6" t="s">
        <v>40</v>
      </c>
      <c r="H11" s="1" t="s">
        <v>123</v>
      </c>
      <c r="I11" s="1" t="s">
        <v>135</v>
      </c>
      <c r="J11" s="1" t="s">
        <v>136</v>
      </c>
      <c r="K11" s="1"/>
      <c r="L11" s="6" t="s">
        <v>44</v>
      </c>
      <c r="M11" s="1"/>
      <c r="N11" s="1"/>
    </row>
    <row r="12" spans="1:14" ht="51" x14ac:dyDescent="0.25">
      <c r="A12" s="5" t="s">
        <v>137</v>
      </c>
      <c r="B12" s="6" t="s">
        <v>5</v>
      </c>
      <c r="C12" s="1" t="s">
        <v>138</v>
      </c>
      <c r="D12" s="1" t="s">
        <v>54</v>
      </c>
      <c r="E12" s="1" t="s">
        <v>139</v>
      </c>
      <c r="F12" s="1" t="s">
        <v>140</v>
      </c>
      <c r="G12" s="6" t="s">
        <v>40</v>
      </c>
      <c r="H12" s="1" t="s">
        <v>123</v>
      </c>
      <c r="I12" s="1" t="s">
        <v>141</v>
      </c>
      <c r="J12" s="1" t="s">
        <v>142</v>
      </c>
      <c r="K12" s="1"/>
      <c r="L12" s="6" t="s">
        <v>44</v>
      </c>
      <c r="M12" s="1"/>
      <c r="N12" s="1"/>
    </row>
    <row r="13" spans="1:14" ht="51" x14ac:dyDescent="0.25">
      <c r="A13" s="5" t="s">
        <v>143</v>
      </c>
      <c r="B13" s="6" t="s">
        <v>5</v>
      </c>
      <c r="C13" s="1" t="s">
        <v>144</v>
      </c>
      <c r="D13" s="1" t="s">
        <v>54</v>
      </c>
      <c r="E13" s="1" t="s">
        <v>145</v>
      </c>
      <c r="F13" s="1" t="s">
        <v>140</v>
      </c>
      <c r="G13" s="6" t="s">
        <v>40</v>
      </c>
      <c r="H13" s="1" t="s">
        <v>123</v>
      </c>
      <c r="I13" s="1" t="s">
        <v>146</v>
      </c>
      <c r="J13" s="1" t="s">
        <v>147</v>
      </c>
      <c r="K13" s="1"/>
      <c r="L13" s="6" t="s">
        <v>44</v>
      </c>
      <c r="M13" s="1"/>
      <c r="N13" s="1"/>
    </row>
    <row r="14" spans="1:14" ht="51" x14ac:dyDescent="0.25">
      <c r="A14" s="5" t="s">
        <v>148</v>
      </c>
      <c r="B14" s="6" t="s">
        <v>5</v>
      </c>
      <c r="C14" s="1" t="s">
        <v>149</v>
      </c>
      <c r="D14" s="1" t="s">
        <v>74</v>
      </c>
      <c r="E14" s="1" t="s">
        <v>150</v>
      </c>
      <c r="F14" s="1" t="s">
        <v>151</v>
      </c>
      <c r="G14" s="6" t="s">
        <v>40</v>
      </c>
      <c r="H14" s="1" t="s">
        <v>123</v>
      </c>
      <c r="I14" s="1" t="s">
        <v>152</v>
      </c>
      <c r="J14" s="1" t="s">
        <v>153</v>
      </c>
      <c r="K14" s="1"/>
      <c r="L14" s="6" t="s">
        <v>44</v>
      </c>
      <c r="M14" s="1"/>
      <c r="N14" s="1"/>
    </row>
    <row r="15" spans="1:14" ht="51" x14ac:dyDescent="0.25">
      <c r="A15" s="5" t="s">
        <v>154</v>
      </c>
      <c r="B15" s="6" t="s">
        <v>5</v>
      </c>
      <c r="C15" s="1" t="s">
        <v>155</v>
      </c>
      <c r="D15" s="1" t="s">
        <v>20</v>
      </c>
      <c r="E15" s="1" t="s">
        <v>156</v>
      </c>
      <c r="F15" s="1" t="s">
        <v>157</v>
      </c>
      <c r="G15" s="6" t="s">
        <v>40</v>
      </c>
      <c r="H15" s="1" t="s">
        <v>158</v>
      </c>
      <c r="I15" s="1" t="s">
        <v>159</v>
      </c>
      <c r="J15" s="1" t="s">
        <v>160</v>
      </c>
      <c r="K15" s="1"/>
      <c r="L15" s="6" t="s">
        <v>44</v>
      </c>
      <c r="M15" s="1"/>
      <c r="N15" s="1" t="s">
        <v>161</v>
      </c>
    </row>
    <row r="16" spans="1:14" ht="38.25" x14ac:dyDescent="0.25">
      <c r="A16" s="5" t="s">
        <v>162</v>
      </c>
      <c r="B16" s="6" t="s">
        <v>5</v>
      </c>
      <c r="C16" s="1" t="s">
        <v>163</v>
      </c>
      <c r="D16" s="1" t="s">
        <v>20</v>
      </c>
      <c r="E16" s="1" t="s">
        <v>164</v>
      </c>
      <c r="F16" s="1" t="s">
        <v>157</v>
      </c>
      <c r="G16" s="6" t="s">
        <v>40</v>
      </c>
      <c r="H16" s="1" t="s">
        <v>165</v>
      </c>
      <c r="I16" s="1" t="s">
        <v>166</v>
      </c>
      <c r="J16" s="1" t="s">
        <v>167</v>
      </c>
      <c r="K16" s="1"/>
      <c r="L16" s="6" t="s">
        <v>44</v>
      </c>
      <c r="M16" s="1"/>
      <c r="N16" s="1"/>
    </row>
    <row r="17" spans="1:14" ht="63.75" x14ac:dyDescent="0.25">
      <c r="A17" s="5" t="s">
        <v>176</v>
      </c>
      <c r="B17" s="6" t="s">
        <v>5</v>
      </c>
      <c r="C17" s="1" t="s">
        <v>177</v>
      </c>
      <c r="D17" s="1" t="s">
        <v>20</v>
      </c>
      <c r="E17" s="1" t="s">
        <v>178</v>
      </c>
      <c r="F17" s="1" t="s">
        <v>179</v>
      </c>
      <c r="G17" s="6" t="s">
        <v>40</v>
      </c>
      <c r="H17" s="1" t="s">
        <v>180</v>
      </c>
      <c r="I17" s="1" t="s">
        <v>181</v>
      </c>
      <c r="J17" s="1" t="s">
        <v>182</v>
      </c>
      <c r="K17" s="1"/>
      <c r="L17" s="6" t="s">
        <v>44</v>
      </c>
      <c r="M17" s="1"/>
      <c r="N17" s="1" t="s">
        <v>183</v>
      </c>
    </row>
    <row r="18" spans="1:14" ht="102" x14ac:dyDescent="0.25">
      <c r="A18" s="5" t="s">
        <v>190</v>
      </c>
      <c r="B18" s="6" t="s">
        <v>7</v>
      </c>
      <c r="C18" s="1" t="s">
        <v>191</v>
      </c>
      <c r="D18" s="1" t="s">
        <v>37</v>
      </c>
      <c r="E18" s="1" t="s">
        <v>38</v>
      </c>
      <c r="F18" s="1" t="s">
        <v>192</v>
      </c>
      <c r="G18" s="6" t="s">
        <v>40</v>
      </c>
      <c r="H18" s="1" t="s">
        <v>193</v>
      </c>
      <c r="I18" s="1" t="s">
        <v>194</v>
      </c>
      <c r="J18" s="1" t="s">
        <v>195</v>
      </c>
      <c r="K18" s="1"/>
      <c r="L18" s="6" t="s">
        <v>44</v>
      </c>
      <c r="M18" s="1"/>
      <c r="N18" s="1"/>
    </row>
    <row r="19" spans="1:14" ht="89.25" x14ac:dyDescent="0.25">
      <c r="A19" s="5" t="s">
        <v>196</v>
      </c>
      <c r="B19" s="6" t="s">
        <v>7</v>
      </c>
      <c r="C19" s="1" t="s">
        <v>197</v>
      </c>
      <c r="D19" s="1" t="s">
        <v>37</v>
      </c>
      <c r="E19" s="1" t="s">
        <v>38</v>
      </c>
      <c r="F19" s="1" t="s">
        <v>198</v>
      </c>
      <c r="G19" s="6" t="s">
        <v>40</v>
      </c>
      <c r="H19" s="1" t="s">
        <v>199</v>
      </c>
      <c r="I19" s="1" t="s">
        <v>200</v>
      </c>
      <c r="J19" s="1" t="s">
        <v>201</v>
      </c>
      <c r="K19" s="1"/>
      <c r="L19" s="6" t="s">
        <v>44</v>
      </c>
      <c r="M19" s="1"/>
      <c r="N19" s="1"/>
    </row>
    <row r="20" spans="1:14" ht="89.25" x14ac:dyDescent="0.25">
      <c r="A20" s="5" t="s">
        <v>202</v>
      </c>
      <c r="B20" s="6" t="s">
        <v>7</v>
      </c>
      <c r="C20" s="1" t="s">
        <v>203</v>
      </c>
      <c r="D20" s="1" t="s">
        <v>37</v>
      </c>
      <c r="E20" s="1" t="s">
        <v>38</v>
      </c>
      <c r="F20" s="1" t="s">
        <v>204</v>
      </c>
      <c r="G20" s="6" t="s">
        <v>40</v>
      </c>
      <c r="H20" s="1" t="s">
        <v>199</v>
      </c>
      <c r="I20" s="1" t="s">
        <v>205</v>
      </c>
      <c r="J20" s="1" t="s">
        <v>206</v>
      </c>
      <c r="K20" s="1"/>
      <c r="L20" s="6" t="s">
        <v>44</v>
      </c>
      <c r="M20" s="1"/>
      <c r="N20" s="1"/>
    </row>
    <row r="21" spans="1:14" ht="89.25" x14ac:dyDescent="0.25">
      <c r="A21" s="5" t="s">
        <v>207</v>
      </c>
      <c r="B21" s="6" t="s">
        <v>7</v>
      </c>
      <c r="C21" s="1" t="s">
        <v>208</v>
      </c>
      <c r="D21" s="1" t="s">
        <v>74</v>
      </c>
      <c r="E21" s="1" t="s">
        <v>128</v>
      </c>
      <c r="F21" s="1" t="s">
        <v>209</v>
      </c>
      <c r="G21" s="6" t="s">
        <v>40</v>
      </c>
      <c r="H21" s="1" t="s">
        <v>199</v>
      </c>
      <c r="I21" s="1" t="s">
        <v>210</v>
      </c>
      <c r="J21" s="1" t="s">
        <v>211</v>
      </c>
      <c r="K21" s="1"/>
      <c r="L21" s="6" t="s">
        <v>44</v>
      </c>
      <c r="M21" s="1"/>
      <c r="N21" s="1"/>
    </row>
    <row r="22" spans="1:14" ht="89.25" x14ac:dyDescent="0.25">
      <c r="A22" s="5" t="s">
        <v>212</v>
      </c>
      <c r="B22" s="6" t="s">
        <v>7</v>
      </c>
      <c r="C22" s="1" t="s">
        <v>213</v>
      </c>
      <c r="D22" s="1" t="s">
        <v>74</v>
      </c>
      <c r="E22" s="1" t="s">
        <v>134</v>
      </c>
      <c r="F22" s="1" t="s">
        <v>209</v>
      </c>
      <c r="G22" s="6" t="s">
        <v>40</v>
      </c>
      <c r="H22" s="1" t="s">
        <v>199</v>
      </c>
      <c r="I22" s="1" t="s">
        <v>214</v>
      </c>
      <c r="J22" s="1" t="s">
        <v>215</v>
      </c>
      <c r="K22" s="1"/>
      <c r="L22" s="6" t="s">
        <v>44</v>
      </c>
      <c r="M22" s="1"/>
      <c r="N22" s="1"/>
    </row>
    <row r="23" spans="1:14" ht="89.25" x14ac:dyDescent="0.25">
      <c r="A23" s="5" t="s">
        <v>216</v>
      </c>
      <c r="B23" s="6" t="s">
        <v>7</v>
      </c>
      <c r="C23" s="1" t="s">
        <v>217</v>
      </c>
      <c r="D23" s="1" t="s">
        <v>54</v>
      </c>
      <c r="E23" s="1" t="s">
        <v>139</v>
      </c>
      <c r="F23" s="1" t="s">
        <v>218</v>
      </c>
      <c r="G23" s="6" t="s">
        <v>40</v>
      </c>
      <c r="H23" s="1" t="s">
        <v>199</v>
      </c>
      <c r="I23" s="1" t="s">
        <v>219</v>
      </c>
      <c r="J23" s="1" t="s">
        <v>220</v>
      </c>
      <c r="K23" s="1"/>
      <c r="L23" s="6" t="s">
        <v>44</v>
      </c>
      <c r="M23" s="1"/>
      <c r="N23" s="1"/>
    </row>
    <row r="24" spans="1:14" ht="89.25" x14ac:dyDescent="0.25">
      <c r="A24" s="5" t="s">
        <v>221</v>
      </c>
      <c r="B24" s="6" t="s">
        <v>7</v>
      </c>
      <c r="C24" s="1" t="s">
        <v>222</v>
      </c>
      <c r="D24" s="1" t="s">
        <v>74</v>
      </c>
      <c r="E24" s="1" t="s">
        <v>150</v>
      </c>
      <c r="F24" s="1" t="s">
        <v>218</v>
      </c>
      <c r="G24" s="6" t="s">
        <v>40</v>
      </c>
      <c r="H24" s="1" t="s">
        <v>199</v>
      </c>
      <c r="I24" s="1" t="s">
        <v>223</v>
      </c>
      <c r="J24" s="1" t="s">
        <v>224</v>
      </c>
      <c r="K24" s="1"/>
      <c r="L24" s="6" t="s">
        <v>44</v>
      </c>
      <c r="M24" s="1"/>
      <c r="N24" s="1"/>
    </row>
    <row r="25" spans="1:14" ht="102" x14ac:dyDescent="0.25">
      <c r="A25" s="5" t="s">
        <v>225</v>
      </c>
      <c r="B25" s="6" t="s">
        <v>7</v>
      </c>
      <c r="C25" s="1" t="s">
        <v>226</v>
      </c>
      <c r="D25" s="1" t="s">
        <v>20</v>
      </c>
      <c r="E25" s="1" t="s">
        <v>227</v>
      </c>
      <c r="F25" s="1" t="s">
        <v>228</v>
      </c>
      <c r="G25" s="6" t="s">
        <v>40</v>
      </c>
      <c r="H25" s="1" t="s">
        <v>229</v>
      </c>
      <c r="I25" s="1" t="s">
        <v>230</v>
      </c>
      <c r="J25" s="1" t="s">
        <v>231</v>
      </c>
      <c r="K25" s="1"/>
      <c r="L25" s="6" t="s">
        <v>44</v>
      </c>
      <c r="M25" s="1"/>
      <c r="N25" s="1" t="s">
        <v>232</v>
      </c>
    </row>
    <row r="26" spans="1:14" ht="76.5" x14ac:dyDescent="0.25">
      <c r="A26" s="5" t="s">
        <v>261</v>
      </c>
      <c r="B26" s="6" t="s">
        <v>9</v>
      </c>
      <c r="C26" s="1" t="s">
        <v>262</v>
      </c>
      <c r="D26" s="1" t="s">
        <v>37</v>
      </c>
      <c r="E26" s="1" t="s">
        <v>38</v>
      </c>
      <c r="F26" s="1" t="s">
        <v>263</v>
      </c>
      <c r="G26" s="6" t="s">
        <v>40</v>
      </c>
      <c r="H26" s="1" t="s">
        <v>264</v>
      </c>
      <c r="I26" s="1" t="s">
        <v>265</v>
      </c>
      <c r="J26" s="1" t="s">
        <v>266</v>
      </c>
      <c r="K26" s="1"/>
      <c r="L26" s="6" t="s">
        <v>44</v>
      </c>
      <c r="M26" s="1"/>
      <c r="N26" s="1" t="s">
        <v>267</v>
      </c>
    </row>
    <row r="27" spans="1:14" ht="51" x14ac:dyDescent="0.25">
      <c r="A27" s="5" t="s">
        <v>268</v>
      </c>
      <c r="B27" s="6" t="s">
        <v>9</v>
      </c>
      <c r="C27" s="1" t="s">
        <v>269</v>
      </c>
      <c r="D27" s="1" t="s">
        <v>74</v>
      </c>
      <c r="E27" s="1" t="s">
        <v>270</v>
      </c>
      <c r="F27" s="1" t="s">
        <v>271</v>
      </c>
      <c r="G27" s="6" t="s">
        <v>40</v>
      </c>
      <c r="H27" s="1" t="s">
        <v>264</v>
      </c>
      <c r="I27" s="1" t="s">
        <v>272</v>
      </c>
      <c r="J27" s="1" t="s">
        <v>273</v>
      </c>
      <c r="K27" s="1"/>
      <c r="L27" s="6" t="s">
        <v>44</v>
      </c>
      <c r="M27" s="1"/>
      <c r="N27" s="1" t="s">
        <v>267</v>
      </c>
    </row>
    <row r="28" spans="1:14" ht="51" x14ac:dyDescent="0.25">
      <c r="A28" s="5" t="s">
        <v>274</v>
      </c>
      <c r="B28" s="6" t="s">
        <v>9</v>
      </c>
      <c r="C28" s="1" t="s">
        <v>275</v>
      </c>
      <c r="D28" s="1" t="s">
        <v>74</v>
      </c>
      <c r="E28" s="1" t="s">
        <v>276</v>
      </c>
      <c r="F28" s="1" t="s">
        <v>277</v>
      </c>
      <c r="G28" s="6" t="s">
        <v>40</v>
      </c>
      <c r="H28" s="1" t="s">
        <v>264</v>
      </c>
      <c r="I28" s="1" t="s">
        <v>278</v>
      </c>
      <c r="J28" s="1" t="s">
        <v>279</v>
      </c>
      <c r="K28" s="1"/>
      <c r="L28" s="6" t="s">
        <v>44</v>
      </c>
      <c r="M28" s="1"/>
      <c r="N28" s="1"/>
    </row>
    <row r="29" spans="1:14" ht="63.75" x14ac:dyDescent="0.25">
      <c r="A29" s="5" t="s">
        <v>293</v>
      </c>
      <c r="B29" s="6" t="s">
        <v>9</v>
      </c>
      <c r="C29" s="1" t="s">
        <v>294</v>
      </c>
      <c r="D29" s="1" t="s">
        <v>37</v>
      </c>
      <c r="E29" s="1" t="s">
        <v>295</v>
      </c>
      <c r="F29" s="1" t="s">
        <v>296</v>
      </c>
      <c r="G29" s="6" t="s">
        <v>40</v>
      </c>
      <c r="H29" s="1" t="s">
        <v>264</v>
      </c>
      <c r="I29" s="1" t="s">
        <v>297</v>
      </c>
      <c r="J29" s="1" t="s">
        <v>298</v>
      </c>
      <c r="K29" s="1"/>
      <c r="L29" s="6" t="s">
        <v>44</v>
      </c>
      <c r="M29" s="1"/>
      <c r="N29" s="1" t="s">
        <v>299</v>
      </c>
    </row>
    <row r="30" spans="1:14" ht="63.75" x14ac:dyDescent="0.25">
      <c r="A30" s="5" t="s">
        <v>300</v>
      </c>
      <c r="B30" s="6" t="s">
        <v>9</v>
      </c>
      <c r="C30" s="1" t="s">
        <v>301</v>
      </c>
      <c r="D30" s="1" t="s">
        <v>20</v>
      </c>
      <c r="E30" s="1" t="s">
        <v>302</v>
      </c>
      <c r="F30" s="1" t="s">
        <v>303</v>
      </c>
      <c r="G30" s="6" t="s">
        <v>40</v>
      </c>
      <c r="H30" s="1" t="s">
        <v>264</v>
      </c>
      <c r="I30" s="1" t="s">
        <v>304</v>
      </c>
      <c r="J30" s="1" t="s">
        <v>305</v>
      </c>
      <c r="K30" s="1"/>
      <c r="L30" s="6" t="s">
        <v>44</v>
      </c>
      <c r="M30" s="1"/>
      <c r="N30" s="1" t="s">
        <v>267</v>
      </c>
    </row>
    <row r="31" spans="1:14" ht="51" x14ac:dyDescent="0.25">
      <c r="A31" s="5" t="s">
        <v>306</v>
      </c>
      <c r="B31" s="6" t="s">
        <v>9</v>
      </c>
      <c r="C31" s="1" t="s">
        <v>307</v>
      </c>
      <c r="D31" s="1" t="s">
        <v>20</v>
      </c>
      <c r="E31" s="1" t="s">
        <v>250</v>
      </c>
      <c r="F31" s="1" t="s">
        <v>308</v>
      </c>
      <c r="G31" s="6" t="s">
        <v>40</v>
      </c>
      <c r="H31" s="1" t="s">
        <v>309</v>
      </c>
      <c r="I31" s="1" t="s">
        <v>310</v>
      </c>
      <c r="J31" s="1" t="s">
        <v>311</v>
      </c>
      <c r="K31" s="1"/>
      <c r="L31" s="6" t="s">
        <v>44</v>
      </c>
      <c r="M31" s="1"/>
      <c r="N31" s="1"/>
    </row>
    <row r="32" spans="1:14" ht="51" x14ac:dyDescent="0.25">
      <c r="A32" s="5" t="s">
        <v>21</v>
      </c>
      <c r="B32" s="6" t="s">
        <v>9</v>
      </c>
      <c r="C32" s="1" t="s">
        <v>312</v>
      </c>
      <c r="D32" s="1" t="s">
        <v>20</v>
      </c>
      <c r="E32" s="1" t="s">
        <v>313</v>
      </c>
      <c r="F32" s="1" t="s">
        <v>314</v>
      </c>
      <c r="G32" s="6" t="s">
        <v>40</v>
      </c>
      <c r="H32" s="1" t="s">
        <v>315</v>
      </c>
      <c r="I32" s="1" t="s">
        <v>316</v>
      </c>
      <c r="J32" s="1" t="s">
        <v>317</v>
      </c>
      <c r="K32" s="1"/>
      <c r="L32" s="6" t="s">
        <v>44</v>
      </c>
      <c r="M32" s="1"/>
      <c r="N32" s="1" t="s">
        <v>318</v>
      </c>
    </row>
    <row r="33" spans="1:14" ht="76.5" x14ac:dyDescent="0.25">
      <c r="A33" s="5" t="s">
        <v>319</v>
      </c>
      <c r="B33" s="6" t="s">
        <v>9</v>
      </c>
      <c r="C33" s="1" t="s">
        <v>320</v>
      </c>
      <c r="D33" s="1" t="s">
        <v>20</v>
      </c>
      <c r="E33" s="1" t="s">
        <v>321</v>
      </c>
      <c r="F33" s="1" t="s">
        <v>322</v>
      </c>
      <c r="G33" s="6" t="s">
        <v>40</v>
      </c>
      <c r="H33" s="1" t="s">
        <v>323</v>
      </c>
      <c r="I33" s="1" t="s">
        <v>324</v>
      </c>
      <c r="J33" s="1" t="s">
        <v>325</v>
      </c>
      <c r="K33" s="1"/>
      <c r="L33" s="6" t="s">
        <v>44</v>
      </c>
      <c r="M33" s="1"/>
      <c r="N33" s="1" t="s">
        <v>326</v>
      </c>
    </row>
    <row r="34" spans="1:14" ht="25.5" x14ac:dyDescent="0.25">
      <c r="A34" s="5" t="s">
        <v>335</v>
      </c>
      <c r="B34" s="6" t="s">
        <v>11</v>
      </c>
      <c r="C34" s="1" t="s">
        <v>336</v>
      </c>
      <c r="D34" s="1" t="s">
        <v>37</v>
      </c>
      <c r="E34" s="1" t="s">
        <v>337</v>
      </c>
      <c r="F34" s="1" t="s">
        <v>338</v>
      </c>
      <c r="G34" s="6" t="s">
        <v>40</v>
      </c>
      <c r="H34" s="1" t="s">
        <v>339</v>
      </c>
      <c r="I34" s="1" t="s">
        <v>340</v>
      </c>
      <c r="J34" s="1" t="s">
        <v>341</v>
      </c>
      <c r="K34" s="1"/>
      <c r="L34" s="6" t="s">
        <v>44</v>
      </c>
      <c r="M34" s="1"/>
      <c r="N34" s="1"/>
    </row>
    <row r="35" spans="1:14" ht="25.5" x14ac:dyDescent="0.25">
      <c r="A35" s="5" t="s">
        <v>353</v>
      </c>
      <c r="B35" s="6" t="s">
        <v>11</v>
      </c>
      <c r="C35" s="1" t="s">
        <v>354</v>
      </c>
      <c r="D35" s="1" t="s">
        <v>37</v>
      </c>
      <c r="E35" s="1" t="s">
        <v>337</v>
      </c>
      <c r="F35" s="1" t="s">
        <v>355</v>
      </c>
      <c r="G35" s="6" t="s">
        <v>40</v>
      </c>
      <c r="H35" s="1" t="s">
        <v>356</v>
      </c>
      <c r="I35" s="1" t="s">
        <v>346</v>
      </c>
      <c r="J35" s="1" t="s">
        <v>357</v>
      </c>
      <c r="K35" s="1"/>
      <c r="L35" s="6" t="s">
        <v>44</v>
      </c>
      <c r="M35" s="1"/>
      <c r="N35" s="1"/>
    </row>
    <row r="36" spans="1:14" x14ac:dyDescent="0.25">
      <c r="A36" s="5" t="s">
        <v>358</v>
      </c>
      <c r="B36" s="6" t="s">
        <v>11</v>
      </c>
      <c r="C36" s="1" t="s">
        <v>359</v>
      </c>
      <c r="D36" s="1" t="s">
        <v>54</v>
      </c>
      <c r="E36" s="1" t="s">
        <v>360</v>
      </c>
      <c r="F36" s="1" t="s">
        <v>361</v>
      </c>
      <c r="G36" s="6" t="s">
        <v>40</v>
      </c>
      <c r="H36" s="1" t="s">
        <v>362</v>
      </c>
      <c r="I36" s="1" t="s">
        <v>363</v>
      </c>
      <c r="J36" s="1" t="s">
        <v>364</v>
      </c>
      <c r="K36" s="1"/>
      <c r="L36" s="6" t="s">
        <v>44</v>
      </c>
      <c r="M36" s="1"/>
      <c r="N36" s="1"/>
    </row>
    <row r="37" spans="1:14" ht="25.5" x14ac:dyDescent="0.25">
      <c r="A37" s="5" t="s">
        <v>365</v>
      </c>
      <c r="B37" s="6" t="s">
        <v>14</v>
      </c>
      <c r="C37" s="1" t="s">
        <v>366</v>
      </c>
      <c r="D37" s="1" t="s">
        <v>37</v>
      </c>
      <c r="E37" s="1" t="s">
        <v>337</v>
      </c>
      <c r="F37" s="1" t="s">
        <v>367</v>
      </c>
      <c r="G37" s="6" t="s">
        <v>40</v>
      </c>
      <c r="H37" s="1" t="s">
        <v>368</v>
      </c>
      <c r="I37" s="1" t="s">
        <v>346</v>
      </c>
      <c r="J37" s="1" t="s">
        <v>369</v>
      </c>
      <c r="K37" s="1"/>
      <c r="L37" s="6" t="s">
        <v>44</v>
      </c>
      <c r="M37" s="1"/>
      <c r="N37" s="1"/>
    </row>
    <row r="38" spans="1:14" ht="25.5" x14ac:dyDescent="0.25">
      <c r="A38" s="5" t="s">
        <v>370</v>
      </c>
      <c r="B38" s="6" t="s">
        <v>14</v>
      </c>
      <c r="C38" s="1" t="s">
        <v>371</v>
      </c>
      <c r="D38" s="1" t="s">
        <v>37</v>
      </c>
      <c r="E38" s="1" t="s">
        <v>337</v>
      </c>
      <c r="F38" s="1" t="s">
        <v>367</v>
      </c>
      <c r="G38" s="6" t="s">
        <v>40</v>
      </c>
      <c r="H38" s="1" t="s">
        <v>372</v>
      </c>
      <c r="I38" s="1" t="s">
        <v>346</v>
      </c>
      <c r="J38" s="1" t="s">
        <v>373</v>
      </c>
      <c r="K38" s="1"/>
      <c r="L38" s="6" t="s">
        <v>44</v>
      </c>
      <c r="M38" s="1"/>
      <c r="N38" s="1"/>
    </row>
    <row r="39" spans="1:14" ht="25.5" x14ac:dyDescent="0.25">
      <c r="A39" s="5" t="s">
        <v>374</v>
      </c>
      <c r="B39" s="6" t="s">
        <v>14</v>
      </c>
      <c r="C39" s="1" t="s">
        <v>375</v>
      </c>
      <c r="D39" s="1" t="s">
        <v>54</v>
      </c>
      <c r="E39" s="1" t="s">
        <v>337</v>
      </c>
      <c r="F39" s="1" t="s">
        <v>376</v>
      </c>
      <c r="G39" s="6" t="s">
        <v>40</v>
      </c>
      <c r="H39" s="1" t="s">
        <v>377</v>
      </c>
      <c r="I39" s="1" t="s">
        <v>346</v>
      </c>
      <c r="J39" s="1" t="s">
        <v>378</v>
      </c>
      <c r="K39" s="1"/>
      <c r="L39" s="6" t="s">
        <v>44</v>
      </c>
      <c r="M39" s="1"/>
      <c r="N39" s="1"/>
    </row>
    <row r="40" spans="1:14" x14ac:dyDescent="0.25">
      <c r="A40" s="5" t="s">
        <v>379</v>
      </c>
      <c r="B40" s="6" t="s">
        <v>14</v>
      </c>
      <c r="C40" s="1" t="s">
        <v>380</v>
      </c>
      <c r="D40" s="1" t="s">
        <v>54</v>
      </c>
      <c r="E40" s="1" t="s">
        <v>337</v>
      </c>
      <c r="F40" s="1" t="s">
        <v>376</v>
      </c>
      <c r="G40" s="6" t="s">
        <v>40</v>
      </c>
      <c r="H40" s="1" t="s">
        <v>381</v>
      </c>
      <c r="I40" s="1" t="s">
        <v>346</v>
      </c>
      <c r="J40" s="1" t="s">
        <v>382</v>
      </c>
      <c r="K40" s="1"/>
      <c r="L40" s="6" t="s">
        <v>44</v>
      </c>
      <c r="M40" s="1"/>
      <c r="N40" s="1" t="s">
        <v>383</v>
      </c>
    </row>
    <row r="41" spans="1:14" ht="25.5" x14ac:dyDescent="0.25">
      <c r="A41" s="5" t="s">
        <v>393</v>
      </c>
      <c r="B41" s="6" t="s">
        <v>16</v>
      </c>
      <c r="C41" s="1" t="s">
        <v>394</v>
      </c>
      <c r="D41" s="1" t="s">
        <v>37</v>
      </c>
      <c r="E41" s="1" t="s">
        <v>337</v>
      </c>
      <c r="F41" s="1" t="s">
        <v>395</v>
      </c>
      <c r="G41" s="6" t="s">
        <v>40</v>
      </c>
      <c r="H41" s="1" t="s">
        <v>339</v>
      </c>
      <c r="I41" s="1" t="s">
        <v>396</v>
      </c>
      <c r="J41" s="1" t="s">
        <v>397</v>
      </c>
      <c r="K41" s="1"/>
      <c r="L41" s="6" t="s">
        <v>44</v>
      </c>
      <c r="M41" s="1"/>
      <c r="N41" s="1"/>
    </row>
    <row r="42" spans="1:14" ht="25.5" x14ac:dyDescent="0.25">
      <c r="A42" s="5" t="s">
        <v>398</v>
      </c>
      <c r="B42" s="6" t="s">
        <v>16</v>
      </c>
      <c r="C42" s="1" t="s">
        <v>399</v>
      </c>
      <c r="D42" s="1" t="s">
        <v>74</v>
      </c>
      <c r="E42" s="1" t="s">
        <v>400</v>
      </c>
      <c r="F42" s="1" t="s">
        <v>395</v>
      </c>
      <c r="G42" s="6" t="s">
        <v>40</v>
      </c>
      <c r="H42" s="1" t="s">
        <v>339</v>
      </c>
      <c r="I42" s="1" t="s">
        <v>401</v>
      </c>
      <c r="J42" s="1" t="s">
        <v>402</v>
      </c>
      <c r="K42" s="1"/>
      <c r="L42" s="6" t="s">
        <v>44</v>
      </c>
      <c r="M42" s="1"/>
      <c r="N42" s="1" t="s">
        <v>403</v>
      </c>
    </row>
    <row r="43" spans="1:14" ht="25.5" x14ac:dyDescent="0.25">
      <c r="A43" s="5" t="s">
        <v>404</v>
      </c>
      <c r="B43" s="6" t="s">
        <v>16</v>
      </c>
      <c r="C43" s="1" t="s">
        <v>405</v>
      </c>
      <c r="D43" s="1" t="s">
        <v>54</v>
      </c>
      <c r="E43" s="1" t="s">
        <v>400</v>
      </c>
      <c r="F43" s="1" t="s">
        <v>406</v>
      </c>
      <c r="G43" s="6" t="s">
        <v>40</v>
      </c>
      <c r="H43" s="1" t="s">
        <v>339</v>
      </c>
      <c r="I43" s="1" t="s">
        <v>407</v>
      </c>
      <c r="J43" s="1" t="s">
        <v>408</v>
      </c>
      <c r="K43" s="1"/>
      <c r="L43" s="6" t="s">
        <v>44</v>
      </c>
      <c r="M43" s="1"/>
      <c r="N43" s="1"/>
    </row>
    <row r="44" spans="1:14" ht="25.5" x14ac:dyDescent="0.25">
      <c r="A44" s="5" t="s">
        <v>414</v>
      </c>
      <c r="B44" s="6" t="s">
        <v>16</v>
      </c>
      <c r="C44" s="1" t="s">
        <v>415</v>
      </c>
      <c r="D44" s="1" t="s">
        <v>20</v>
      </c>
      <c r="E44" s="1" t="s">
        <v>337</v>
      </c>
      <c r="F44" s="1" t="s">
        <v>416</v>
      </c>
      <c r="G44" s="6" t="s">
        <v>40</v>
      </c>
      <c r="H44" s="1" t="s">
        <v>417</v>
      </c>
      <c r="I44" s="1" t="s">
        <v>418</v>
      </c>
      <c r="J44" s="1" t="s">
        <v>419</v>
      </c>
      <c r="K44" s="1"/>
      <c r="L44" s="6" t="s">
        <v>44</v>
      </c>
      <c r="M44" s="1"/>
      <c r="N44" s="1" t="s">
        <v>420</v>
      </c>
    </row>
    <row r="45" spans="1:14" ht="25.5" x14ac:dyDescent="0.25">
      <c r="A45" s="5" t="s">
        <v>421</v>
      </c>
      <c r="B45" s="6" t="s">
        <v>18</v>
      </c>
      <c r="C45" s="1" t="s">
        <v>422</v>
      </c>
      <c r="D45" s="1" t="s">
        <v>37</v>
      </c>
      <c r="E45" s="1" t="s">
        <v>337</v>
      </c>
      <c r="F45" s="1" t="s">
        <v>423</v>
      </c>
      <c r="G45" s="6" t="s">
        <v>40</v>
      </c>
      <c r="H45" s="1" t="s">
        <v>424</v>
      </c>
      <c r="I45" s="1" t="s">
        <v>425</v>
      </c>
      <c r="J45" s="1" t="s">
        <v>426</v>
      </c>
      <c r="K45" s="1"/>
      <c r="L45" s="6" t="s">
        <v>44</v>
      </c>
      <c r="M45" s="1"/>
      <c r="N45" s="1"/>
    </row>
    <row r="46" spans="1:14" x14ac:dyDescent="0.25">
      <c r="A46" s="5" t="s">
        <v>427</v>
      </c>
      <c r="B46" s="6" t="s">
        <v>18</v>
      </c>
      <c r="C46" s="1" t="s">
        <v>428</v>
      </c>
      <c r="D46" s="1" t="s">
        <v>54</v>
      </c>
      <c r="E46" s="1" t="s">
        <v>411</v>
      </c>
      <c r="F46" s="1" t="s">
        <v>429</v>
      </c>
      <c r="G46" s="6" t="s">
        <v>40</v>
      </c>
      <c r="H46" s="1" t="s">
        <v>430</v>
      </c>
      <c r="I46" s="1" t="s">
        <v>431</v>
      </c>
      <c r="J46" s="1" t="s">
        <v>432</v>
      </c>
      <c r="K46" s="1"/>
      <c r="L46" s="6" t="s">
        <v>44</v>
      </c>
      <c r="M46" s="1"/>
      <c r="N46" s="1"/>
    </row>
    <row r="47" spans="1:14" ht="25.5" x14ac:dyDescent="0.25">
      <c r="A47" s="5" t="s">
        <v>433</v>
      </c>
      <c r="B47" s="6" t="s">
        <v>18</v>
      </c>
      <c r="C47" s="1" t="s">
        <v>434</v>
      </c>
      <c r="D47" s="1" t="s">
        <v>54</v>
      </c>
      <c r="E47" s="1" t="s">
        <v>337</v>
      </c>
      <c r="F47" s="1" t="s">
        <v>429</v>
      </c>
      <c r="G47" s="6" t="s">
        <v>40</v>
      </c>
      <c r="H47" s="1" t="s">
        <v>435</v>
      </c>
      <c r="I47" s="1" t="s">
        <v>436</v>
      </c>
      <c r="J47" s="1" t="s">
        <v>437</v>
      </c>
      <c r="K47" s="1"/>
      <c r="L47" s="6" t="s">
        <v>44</v>
      </c>
      <c r="M47" s="1"/>
      <c r="N47" s="1"/>
    </row>
    <row r="48" spans="1:14" ht="25.5" x14ac:dyDescent="0.25">
      <c r="A48" s="5" t="s">
        <v>450</v>
      </c>
      <c r="B48" s="6" t="s">
        <v>18</v>
      </c>
      <c r="C48" s="1" t="s">
        <v>451</v>
      </c>
      <c r="D48" s="1" t="s">
        <v>37</v>
      </c>
      <c r="E48" s="1" t="s">
        <v>337</v>
      </c>
      <c r="F48" s="1" t="s">
        <v>423</v>
      </c>
      <c r="G48" s="6" t="s">
        <v>40</v>
      </c>
      <c r="H48" s="1" t="s">
        <v>452</v>
      </c>
      <c r="I48" s="1" t="s">
        <v>346</v>
      </c>
      <c r="J48" s="1" t="s">
        <v>453</v>
      </c>
      <c r="K48" s="1"/>
      <c r="L48" s="6" t="s">
        <v>44</v>
      </c>
      <c r="M48" s="1"/>
      <c r="N48" s="1"/>
    </row>
    <row r="49" spans="1:14" ht="38.25" x14ac:dyDescent="0.25">
      <c r="A49" s="5" t="s">
        <v>87</v>
      </c>
      <c r="B49" s="6" t="s">
        <v>2</v>
      </c>
      <c r="C49" s="1" t="s">
        <v>88</v>
      </c>
      <c r="D49" s="1" t="s">
        <v>20</v>
      </c>
      <c r="E49" s="1" t="s">
        <v>89</v>
      </c>
      <c r="F49" s="1" t="s">
        <v>90</v>
      </c>
      <c r="G49" s="6" t="s">
        <v>91</v>
      </c>
      <c r="H49" s="1" t="s">
        <v>92</v>
      </c>
      <c r="I49" s="1" t="s">
        <v>93</v>
      </c>
      <c r="J49" s="1" t="s">
        <v>94</v>
      </c>
      <c r="K49" s="1"/>
      <c r="L49" s="6" t="s">
        <v>44</v>
      </c>
      <c r="M49" s="1"/>
      <c r="N49" s="1" t="s">
        <v>95</v>
      </c>
    </row>
    <row r="50" spans="1:14" ht="38.25" x14ac:dyDescent="0.25">
      <c r="A50" s="5" t="s">
        <v>104</v>
      </c>
      <c r="B50" s="6" t="s">
        <v>2</v>
      </c>
      <c r="C50" s="1" t="s">
        <v>105</v>
      </c>
      <c r="D50" s="1" t="s">
        <v>54</v>
      </c>
      <c r="E50" s="1" t="s">
        <v>106</v>
      </c>
      <c r="F50" s="1" t="s">
        <v>107</v>
      </c>
      <c r="G50" s="6" t="s">
        <v>91</v>
      </c>
      <c r="H50" s="1" t="s">
        <v>108</v>
      </c>
      <c r="I50" s="1" t="s">
        <v>109</v>
      </c>
      <c r="J50" s="1" t="s">
        <v>110</v>
      </c>
      <c r="K50" s="1"/>
      <c r="L50" s="6" t="s">
        <v>44</v>
      </c>
      <c r="M50" s="1"/>
      <c r="N50" s="1" t="s">
        <v>111</v>
      </c>
    </row>
    <row r="51" spans="1:14" ht="38.25" x14ac:dyDescent="0.25">
      <c r="A51" s="5" t="s">
        <v>184</v>
      </c>
      <c r="B51" s="6" t="s">
        <v>5</v>
      </c>
      <c r="C51" s="1" t="s">
        <v>185</v>
      </c>
      <c r="D51" s="1" t="s">
        <v>54</v>
      </c>
      <c r="E51" s="1" t="s">
        <v>186</v>
      </c>
      <c r="F51" s="1" t="s">
        <v>187</v>
      </c>
      <c r="G51" s="6" t="s">
        <v>91</v>
      </c>
      <c r="H51" s="1" t="s">
        <v>123</v>
      </c>
      <c r="I51" s="1" t="s">
        <v>188</v>
      </c>
      <c r="J51" s="1" t="s">
        <v>189</v>
      </c>
      <c r="K51" s="1"/>
      <c r="L51" s="6" t="s">
        <v>44</v>
      </c>
      <c r="M51" s="1"/>
      <c r="N51" s="1"/>
    </row>
    <row r="52" spans="1:14" ht="25.5" x14ac:dyDescent="0.25">
      <c r="A52" s="5" t="s">
        <v>342</v>
      </c>
      <c r="B52" s="6" t="s">
        <v>11</v>
      </c>
      <c r="C52" s="1" t="s">
        <v>343</v>
      </c>
      <c r="D52" s="1" t="s">
        <v>20</v>
      </c>
      <c r="E52" s="1" t="s">
        <v>337</v>
      </c>
      <c r="F52" s="1" t="s">
        <v>344</v>
      </c>
      <c r="G52" s="6" t="s">
        <v>91</v>
      </c>
      <c r="H52" s="1" t="s">
        <v>345</v>
      </c>
      <c r="I52" s="1" t="s">
        <v>346</v>
      </c>
      <c r="J52" s="1" t="s">
        <v>347</v>
      </c>
      <c r="K52" s="1"/>
      <c r="L52" s="6" t="s">
        <v>44</v>
      </c>
      <c r="M52" s="1"/>
      <c r="N52" s="1"/>
    </row>
    <row r="53" spans="1:14" ht="25.5" x14ac:dyDescent="0.25">
      <c r="A53" s="5" t="s">
        <v>444</v>
      </c>
      <c r="B53" s="6" t="s">
        <v>18</v>
      </c>
      <c r="C53" s="1" t="s">
        <v>445</v>
      </c>
      <c r="D53" s="1" t="s">
        <v>74</v>
      </c>
      <c r="E53" s="1" t="s">
        <v>400</v>
      </c>
      <c r="F53" s="1" t="s">
        <v>446</v>
      </c>
      <c r="G53" s="6" t="s">
        <v>91</v>
      </c>
      <c r="H53" s="1" t="s">
        <v>447</v>
      </c>
      <c r="I53" s="1" t="s">
        <v>448</v>
      </c>
      <c r="J53" s="1" t="s">
        <v>449</v>
      </c>
      <c r="K53" s="1"/>
      <c r="L53" s="6" t="s">
        <v>44</v>
      </c>
      <c r="M53" s="1"/>
      <c r="N53" s="1"/>
    </row>
    <row r="54" spans="1:14" ht="38.25" x14ac:dyDescent="0.25">
      <c r="A54" s="5" t="s">
        <v>60</v>
      </c>
      <c r="B54" s="6" t="s">
        <v>2</v>
      </c>
      <c r="C54" s="1" t="s">
        <v>61</v>
      </c>
      <c r="D54" s="1" t="s">
        <v>54</v>
      </c>
      <c r="E54" s="1" t="s">
        <v>62</v>
      </c>
      <c r="F54" s="1" t="s">
        <v>56</v>
      </c>
      <c r="G54" s="6" t="s">
        <v>63</v>
      </c>
      <c r="H54" s="1" t="s">
        <v>48</v>
      </c>
      <c r="I54" s="1" t="s">
        <v>64</v>
      </c>
      <c r="J54" s="1" t="s">
        <v>65</v>
      </c>
      <c r="K54" s="1"/>
      <c r="L54" s="6" t="s">
        <v>44</v>
      </c>
      <c r="M54" s="1"/>
      <c r="N54" s="1"/>
    </row>
    <row r="55" spans="1:14" ht="38.25" x14ac:dyDescent="0.25">
      <c r="A55" s="5" t="s">
        <v>112</v>
      </c>
      <c r="B55" s="6" t="s">
        <v>2</v>
      </c>
      <c r="C55" s="1" t="s">
        <v>113</v>
      </c>
      <c r="D55" s="1" t="s">
        <v>54</v>
      </c>
      <c r="E55" s="1" t="s">
        <v>114</v>
      </c>
      <c r="F55" s="1" t="s">
        <v>115</v>
      </c>
      <c r="G55" s="6" t="s">
        <v>63</v>
      </c>
      <c r="H55" s="1" t="s">
        <v>116</v>
      </c>
      <c r="I55" s="1" t="s">
        <v>117</v>
      </c>
      <c r="J55" s="1" t="s">
        <v>118</v>
      </c>
      <c r="K55" s="1"/>
      <c r="L55" s="6" t="s">
        <v>44</v>
      </c>
      <c r="M55" s="1"/>
      <c r="N55" s="1" t="s">
        <v>119</v>
      </c>
    </row>
    <row r="56" spans="1:14" ht="51" x14ac:dyDescent="0.25">
      <c r="A56" s="5" t="s">
        <v>168</v>
      </c>
      <c r="B56" s="6" t="s">
        <v>5</v>
      </c>
      <c r="C56" s="1" t="s">
        <v>169</v>
      </c>
      <c r="D56" s="1" t="s">
        <v>20</v>
      </c>
      <c r="E56" s="1" t="s">
        <v>170</v>
      </c>
      <c r="F56" s="1" t="s">
        <v>171</v>
      </c>
      <c r="G56" s="6" t="s">
        <v>63</v>
      </c>
      <c r="H56" s="1" t="s">
        <v>172</v>
      </c>
      <c r="I56" s="1" t="s">
        <v>173</v>
      </c>
      <c r="J56" s="1" t="s">
        <v>174</v>
      </c>
      <c r="K56" s="1"/>
      <c r="L56" s="6" t="s">
        <v>44</v>
      </c>
      <c r="M56" s="1"/>
      <c r="N56" s="1" t="s">
        <v>175</v>
      </c>
    </row>
    <row r="57" spans="1:14" ht="102" x14ac:dyDescent="0.25">
      <c r="A57" s="5" t="s">
        <v>233</v>
      </c>
      <c r="B57" s="6" t="s">
        <v>7</v>
      </c>
      <c r="C57" s="1" t="s">
        <v>234</v>
      </c>
      <c r="D57" s="1" t="s">
        <v>20</v>
      </c>
      <c r="E57" s="1" t="s">
        <v>227</v>
      </c>
      <c r="F57" s="1" t="s">
        <v>209</v>
      </c>
      <c r="G57" s="6" t="s">
        <v>63</v>
      </c>
      <c r="H57" s="1" t="s">
        <v>229</v>
      </c>
      <c r="I57" s="1" t="s">
        <v>235</v>
      </c>
      <c r="J57" s="1" t="s">
        <v>236</v>
      </c>
      <c r="K57" s="1"/>
      <c r="L57" s="6" t="s">
        <v>44</v>
      </c>
      <c r="M57" s="1"/>
      <c r="N57" s="1"/>
    </row>
    <row r="58" spans="1:14" ht="76.5" x14ac:dyDescent="0.25">
      <c r="A58" s="5" t="s">
        <v>237</v>
      </c>
      <c r="B58" s="6" t="s">
        <v>7</v>
      </c>
      <c r="C58" s="1" t="s">
        <v>238</v>
      </c>
      <c r="D58" s="1" t="s">
        <v>20</v>
      </c>
      <c r="E58" s="1" t="s">
        <v>227</v>
      </c>
      <c r="F58" s="1" t="s">
        <v>209</v>
      </c>
      <c r="G58" s="6" t="s">
        <v>63</v>
      </c>
      <c r="H58" s="1" t="s">
        <v>239</v>
      </c>
      <c r="I58" s="1" t="s">
        <v>240</v>
      </c>
      <c r="J58" s="1" t="s">
        <v>241</v>
      </c>
      <c r="K58" s="1"/>
      <c r="L58" s="6" t="s">
        <v>44</v>
      </c>
      <c r="M58" s="1"/>
      <c r="N58" s="1"/>
    </row>
    <row r="59" spans="1:14" ht="102" x14ac:dyDescent="0.25">
      <c r="A59" s="5" t="s">
        <v>242</v>
      </c>
      <c r="B59" s="6" t="s">
        <v>7</v>
      </c>
      <c r="C59" s="1" t="s">
        <v>243</v>
      </c>
      <c r="D59" s="1" t="s">
        <v>20</v>
      </c>
      <c r="E59" s="1" t="s">
        <v>156</v>
      </c>
      <c r="F59" s="1" t="s">
        <v>244</v>
      </c>
      <c r="G59" s="6" t="s">
        <v>63</v>
      </c>
      <c r="H59" s="1" t="s">
        <v>245</v>
      </c>
      <c r="I59" s="1" t="s">
        <v>246</v>
      </c>
      <c r="J59" s="1" t="s">
        <v>247</v>
      </c>
      <c r="K59" s="1"/>
      <c r="L59" s="6" t="s">
        <v>44</v>
      </c>
      <c r="M59" s="1"/>
      <c r="N59" s="1"/>
    </row>
    <row r="60" spans="1:14" ht="51" x14ac:dyDescent="0.25">
      <c r="A60" s="5" t="s">
        <v>248</v>
      </c>
      <c r="B60" s="6" t="s">
        <v>7</v>
      </c>
      <c r="C60" s="1" t="s">
        <v>249</v>
      </c>
      <c r="D60" s="1" t="s">
        <v>20</v>
      </c>
      <c r="E60" s="1" t="s">
        <v>250</v>
      </c>
      <c r="F60" s="1" t="s">
        <v>251</v>
      </c>
      <c r="G60" s="6" t="s">
        <v>63</v>
      </c>
      <c r="H60" s="1" t="s">
        <v>252</v>
      </c>
      <c r="I60" s="1" t="s">
        <v>253</v>
      </c>
      <c r="J60" s="1" t="s">
        <v>254</v>
      </c>
      <c r="K60" s="1"/>
      <c r="L60" s="6" t="s">
        <v>44</v>
      </c>
      <c r="M60" s="1"/>
      <c r="N60" s="1"/>
    </row>
    <row r="61" spans="1:14" ht="89.25" x14ac:dyDescent="0.25">
      <c r="A61" s="5" t="s">
        <v>255</v>
      </c>
      <c r="B61" s="6" t="s">
        <v>7</v>
      </c>
      <c r="C61" s="1" t="s">
        <v>256</v>
      </c>
      <c r="D61" s="1" t="s">
        <v>54</v>
      </c>
      <c r="E61" s="1" t="s">
        <v>257</v>
      </c>
      <c r="F61" s="1" t="s">
        <v>258</v>
      </c>
      <c r="G61" s="6" t="s">
        <v>63</v>
      </c>
      <c r="H61" s="1" t="s">
        <v>199</v>
      </c>
      <c r="I61" s="1" t="s">
        <v>259</v>
      </c>
      <c r="J61" s="1" t="s">
        <v>260</v>
      </c>
      <c r="K61" s="1"/>
      <c r="L61" s="6" t="s">
        <v>44</v>
      </c>
      <c r="M61" s="1"/>
      <c r="N61" s="1"/>
    </row>
    <row r="62" spans="1:14" ht="51" x14ac:dyDescent="0.25">
      <c r="A62" s="5" t="s">
        <v>280</v>
      </c>
      <c r="B62" s="6" t="s">
        <v>9</v>
      </c>
      <c r="C62" s="1" t="s">
        <v>281</v>
      </c>
      <c r="D62" s="1" t="s">
        <v>54</v>
      </c>
      <c r="E62" s="1" t="s">
        <v>282</v>
      </c>
      <c r="F62" s="1" t="s">
        <v>283</v>
      </c>
      <c r="G62" s="6" t="s">
        <v>63</v>
      </c>
      <c r="H62" s="1" t="s">
        <v>264</v>
      </c>
      <c r="I62" s="1" t="s">
        <v>284</v>
      </c>
      <c r="J62" s="1" t="s">
        <v>285</v>
      </c>
      <c r="K62" s="1"/>
      <c r="L62" s="6" t="s">
        <v>44</v>
      </c>
      <c r="M62" s="1"/>
      <c r="N62" s="1" t="s">
        <v>286</v>
      </c>
    </row>
    <row r="63" spans="1:14" ht="51" x14ac:dyDescent="0.25">
      <c r="A63" s="5" t="s">
        <v>287</v>
      </c>
      <c r="B63" s="6" t="s">
        <v>9</v>
      </c>
      <c r="C63" s="1" t="s">
        <v>288</v>
      </c>
      <c r="D63" s="1" t="s">
        <v>54</v>
      </c>
      <c r="E63" s="1" t="s">
        <v>289</v>
      </c>
      <c r="F63" s="1" t="s">
        <v>290</v>
      </c>
      <c r="G63" s="6" t="s">
        <v>63</v>
      </c>
      <c r="H63" s="1" t="s">
        <v>264</v>
      </c>
      <c r="I63" s="1" t="s">
        <v>291</v>
      </c>
      <c r="J63" s="1" t="s">
        <v>292</v>
      </c>
      <c r="K63" s="1"/>
      <c r="L63" s="6" t="s">
        <v>44</v>
      </c>
      <c r="M63" s="1"/>
      <c r="N63" s="1"/>
    </row>
    <row r="64" spans="1:14" ht="63.75" x14ac:dyDescent="0.25">
      <c r="A64" s="5" t="s">
        <v>327</v>
      </c>
      <c r="B64" s="6" t="s">
        <v>9</v>
      </c>
      <c r="C64" s="1" t="s">
        <v>328</v>
      </c>
      <c r="D64" s="1" t="s">
        <v>329</v>
      </c>
      <c r="E64" s="1" t="s">
        <v>330</v>
      </c>
      <c r="F64" s="1" t="s">
        <v>331</v>
      </c>
      <c r="G64" s="6" t="s">
        <v>63</v>
      </c>
      <c r="H64" s="1" t="s">
        <v>264</v>
      </c>
      <c r="I64" s="1" t="s">
        <v>332</v>
      </c>
      <c r="J64" s="1" t="s">
        <v>333</v>
      </c>
      <c r="K64" s="1"/>
      <c r="L64" s="6" t="s">
        <v>44</v>
      </c>
      <c r="M64" s="1"/>
      <c r="N64" s="1" t="s">
        <v>334</v>
      </c>
    </row>
    <row r="65" spans="1:14" ht="25.5" x14ac:dyDescent="0.25">
      <c r="A65" s="5" t="s">
        <v>348</v>
      </c>
      <c r="B65" s="6" t="s">
        <v>11</v>
      </c>
      <c r="C65" s="1" t="s">
        <v>349</v>
      </c>
      <c r="D65" s="1" t="s">
        <v>37</v>
      </c>
      <c r="E65" s="1" t="s">
        <v>337</v>
      </c>
      <c r="F65" s="1" t="s">
        <v>338</v>
      </c>
      <c r="G65" s="6" t="s">
        <v>63</v>
      </c>
      <c r="H65" s="1" t="s">
        <v>350</v>
      </c>
      <c r="I65" s="1" t="s">
        <v>351</v>
      </c>
      <c r="J65" s="1" t="s">
        <v>352</v>
      </c>
      <c r="K65" s="1"/>
      <c r="L65" s="6" t="s">
        <v>44</v>
      </c>
      <c r="M65" s="1"/>
      <c r="N65" s="1"/>
    </row>
    <row r="66" spans="1:14" x14ac:dyDescent="0.25">
      <c r="A66" s="5" t="s">
        <v>384</v>
      </c>
      <c r="B66" s="6" t="s">
        <v>14</v>
      </c>
      <c r="C66" s="1" t="s">
        <v>385</v>
      </c>
      <c r="D66" s="1" t="s">
        <v>54</v>
      </c>
      <c r="E66" s="1" t="s">
        <v>337</v>
      </c>
      <c r="F66" s="1" t="s">
        <v>376</v>
      </c>
      <c r="G66" s="6" t="s">
        <v>63</v>
      </c>
      <c r="H66" s="1" t="s">
        <v>386</v>
      </c>
      <c r="I66" s="1" t="s">
        <v>346</v>
      </c>
      <c r="J66" s="1" t="s">
        <v>387</v>
      </c>
      <c r="K66" s="1"/>
      <c r="L66" s="6" t="s">
        <v>44</v>
      </c>
      <c r="M66" s="1"/>
      <c r="N66" s="1"/>
    </row>
    <row r="67" spans="1:14" ht="25.5" x14ac:dyDescent="0.25">
      <c r="A67" s="5" t="s">
        <v>388</v>
      </c>
      <c r="B67" s="6" t="s">
        <v>14</v>
      </c>
      <c r="C67" s="1" t="s">
        <v>389</v>
      </c>
      <c r="D67" s="1" t="s">
        <v>20</v>
      </c>
      <c r="E67" s="1" t="s">
        <v>337</v>
      </c>
      <c r="F67" s="1" t="s">
        <v>390</v>
      </c>
      <c r="G67" s="6" t="s">
        <v>63</v>
      </c>
      <c r="H67" s="1" t="s">
        <v>391</v>
      </c>
      <c r="I67" s="1" t="s">
        <v>346</v>
      </c>
      <c r="J67" s="1" t="s">
        <v>392</v>
      </c>
      <c r="K67" s="1"/>
      <c r="L67" s="6" t="s">
        <v>44</v>
      </c>
      <c r="M67" s="1"/>
      <c r="N67" s="1"/>
    </row>
    <row r="68" spans="1:14" ht="25.5" x14ac:dyDescent="0.25">
      <c r="A68" s="5" t="s">
        <v>409</v>
      </c>
      <c r="B68" s="6" t="s">
        <v>16</v>
      </c>
      <c r="C68" s="1" t="s">
        <v>410</v>
      </c>
      <c r="D68" s="1" t="s">
        <v>54</v>
      </c>
      <c r="E68" s="1" t="s">
        <v>411</v>
      </c>
      <c r="F68" s="1" t="s">
        <v>406</v>
      </c>
      <c r="G68" s="6" t="s">
        <v>63</v>
      </c>
      <c r="H68" s="1" t="s">
        <v>339</v>
      </c>
      <c r="I68" s="1" t="s">
        <v>412</v>
      </c>
      <c r="J68" s="1" t="s">
        <v>413</v>
      </c>
      <c r="K68" s="1"/>
      <c r="L68" s="6" t="s">
        <v>44</v>
      </c>
      <c r="M68" s="1"/>
      <c r="N68" s="1"/>
    </row>
    <row r="69" spans="1:14" ht="25.5" x14ac:dyDescent="0.25">
      <c r="A69" s="5" t="s">
        <v>438</v>
      </c>
      <c r="B69" s="6" t="s">
        <v>18</v>
      </c>
      <c r="C69" s="1" t="s">
        <v>439</v>
      </c>
      <c r="D69" s="1" t="s">
        <v>20</v>
      </c>
      <c r="E69" s="1" t="s">
        <v>337</v>
      </c>
      <c r="F69" s="1" t="s">
        <v>440</v>
      </c>
      <c r="G69" s="6" t="s">
        <v>63</v>
      </c>
      <c r="H69" s="1" t="s">
        <v>441</v>
      </c>
      <c r="I69" s="1" t="s">
        <v>442</v>
      </c>
      <c r="J69" s="1" t="s">
        <v>443</v>
      </c>
      <c r="K69" s="1"/>
      <c r="L69" s="6" t="s">
        <v>44</v>
      </c>
      <c r="M69" s="1"/>
      <c r="N69" s="1"/>
    </row>
  </sheetData>
  <autoFilter ref="A1:N69" xr:uid="{00000000-0009-0000-0000-000003000000}">
    <sortState xmlns:xlrd2="http://schemas.microsoft.com/office/spreadsheetml/2017/richdata2" ref="A2:N69">
      <sortCondition ref="G1:G69"/>
    </sortState>
  </autoFilter>
  <conditionalFormatting sqref="L2:L399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"Chưa chạy"</formula>
    </cfRule>
  </conditionalFormatting>
  <dataValidations count="3">
    <dataValidation type="list" allowBlank="1" sqref="D2:D399" xr:uid="{00000000-0002-0000-0300-000000000000}">
      <formula1>"Happy path,Negative,Boundary,Alternative flow,Phi chức năng"</formula1>
      <formula2>0</formula2>
    </dataValidation>
    <dataValidation type="list" allowBlank="1" sqref="G2:G399" xr:uid="{00000000-0002-0000-0300-000001000000}">
      <formula1>"Cao,Trung,Thấp"</formula1>
      <formula2>0</formula2>
    </dataValidation>
    <dataValidation type="list" allowBlank="1" sqref="L2:L399" xr:uid="{00000000-0002-0000-0300-000002000000}">
      <formula1>"Chưa chạy,PASS,FAIL"</formula1>
      <formula2>0</formula2>
    </dataValidation>
  </dataValidations>
  <hyperlinks>
    <hyperlink ref="M2" r:id="rId1" xr:uid="{50F66AAF-B0D6-4015-AE81-202020A4C517}"/>
    <hyperlink ref="M3" r:id="rId2" xr:uid="{A82CC3A9-D097-4E0D-BC9C-E140A8961EB2}"/>
    <hyperlink ref="M4" r:id="rId3" xr:uid="{08D47271-6BFF-47CF-A4E0-50C3B7CBE0C6}"/>
    <hyperlink ref="M5" r:id="rId4" xr:uid="{9F651E7B-E02C-482C-A9C3-B48CE366708D}"/>
    <hyperlink ref="M6" r:id="rId5" xr:uid="{A864ECE4-9FCB-49E2-B4CA-C451B08DAD6B}"/>
    <hyperlink ref="M7" r:id="rId6" xr:uid="{A93B080E-95D8-407A-B7EF-3EF80B22C84E}"/>
    <hyperlink ref="M8" r:id="rId7" xr:uid="{6B3DF791-B948-4A8E-A3AC-C8A2DC934749}"/>
    <hyperlink ref="M9" r:id="rId8" xr:uid="{54F1630E-C33A-44D8-AF37-43D154BB6BAD}"/>
    <hyperlink ref="M10" r:id="rId9" xr:uid="{23368E01-5C93-453F-9C9A-97753332BDA4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J5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7109375" defaultRowHeight="15" x14ac:dyDescent="0.25"/>
  <cols>
    <col min="1" max="1" width="16" customWidth="1"/>
    <col min="2" max="2" width="12" customWidth="1"/>
    <col min="3" max="3" width="40" customWidth="1"/>
    <col min="4" max="4" width="46" customWidth="1"/>
    <col min="5" max="6" width="34" customWidth="1"/>
    <col min="7" max="7" width="14" customWidth="1"/>
    <col min="8" max="8" width="12" customWidth="1"/>
    <col min="9" max="10" width="14" customWidth="1"/>
  </cols>
  <sheetData>
    <row r="1" spans="1:10" ht="31.5" customHeight="1" x14ac:dyDescent="0.25">
      <c r="A1" s="4" t="s">
        <v>454</v>
      </c>
      <c r="B1" s="4" t="s">
        <v>455</v>
      </c>
      <c r="C1" s="4" t="s">
        <v>456</v>
      </c>
      <c r="D1" s="4" t="s">
        <v>457</v>
      </c>
      <c r="E1" s="4" t="s">
        <v>458</v>
      </c>
      <c r="F1" s="4" t="s">
        <v>459</v>
      </c>
      <c r="G1" s="4" t="s">
        <v>460</v>
      </c>
      <c r="H1" s="8" t="s">
        <v>461</v>
      </c>
      <c r="I1" s="8" t="s">
        <v>462</v>
      </c>
      <c r="J1" s="8" t="s">
        <v>463</v>
      </c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1"/>
      <c r="B5" s="1"/>
      <c r="C5" s="1"/>
      <c r="D5" s="1"/>
      <c r="E5" s="1"/>
      <c r="F5" s="1"/>
      <c r="G5" s="1"/>
      <c r="H5" s="1"/>
      <c r="I5" s="1"/>
      <c r="J5" s="1"/>
    </row>
  </sheetData>
  <dataValidations count="2">
    <dataValidation type="list" allowBlank="1" sqref="G2:G298" xr:uid="{00000000-0002-0000-0400-000000000000}">
      <formula1>"Critical,High,Medium,Low"</formula1>
      <formula2>0</formula2>
    </dataValidation>
    <dataValidation type="list" allowBlank="1" sqref="I2:I298" xr:uid="{00000000-0002-0000-0400-000001000000}">
      <formula1>"Mới,Đang sửa,Đã sửa,Đã retest đạt,Retest lỗi lại"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48235"/>
  </sheetPr>
  <dimension ref="A1:J35"/>
  <sheetViews>
    <sheetView showGridLines="0" zoomScale="90" zoomScaleNormal="90" workbookViewId="0">
      <selection activeCell="A2" sqref="A2:XFD2"/>
    </sheetView>
  </sheetViews>
  <sheetFormatPr defaultColWidth="8.7109375" defaultRowHeight="15" x14ac:dyDescent="0.25"/>
  <cols>
    <col min="1" max="1" width="18" customWidth="1"/>
    <col min="2" max="2" width="44" customWidth="1"/>
    <col min="3" max="3" width="14" customWidth="1"/>
    <col min="4" max="8" width="12" customWidth="1"/>
    <col min="9" max="9" width="16" customWidth="1"/>
    <col min="10" max="10" width="12" customWidth="1"/>
  </cols>
  <sheetData>
    <row r="1" spans="1:10" ht="18" x14ac:dyDescent="0.25">
      <c r="A1" s="2" t="s">
        <v>465</v>
      </c>
    </row>
    <row r="3" spans="1:10" ht="31.5" customHeight="1" x14ac:dyDescent="0.25">
      <c r="A3" s="4" t="s">
        <v>0</v>
      </c>
      <c r="B3" s="4" t="s">
        <v>1</v>
      </c>
      <c r="C3" s="4" t="s">
        <v>466</v>
      </c>
      <c r="D3" s="4" t="s">
        <v>467</v>
      </c>
      <c r="E3" s="4" t="s">
        <v>468</v>
      </c>
      <c r="F3" s="4" t="s">
        <v>469</v>
      </c>
      <c r="G3" s="4" t="s">
        <v>470</v>
      </c>
      <c r="H3" s="4" t="s">
        <v>44</v>
      </c>
      <c r="I3" s="4" t="s">
        <v>471</v>
      </c>
      <c r="J3" s="4" t="s">
        <v>472</v>
      </c>
    </row>
    <row r="4" spans="1:10" x14ac:dyDescent="0.25">
      <c r="A4" s="5" t="s">
        <v>2</v>
      </c>
      <c r="B4" s="1" t="s">
        <v>3</v>
      </c>
      <c r="C4" s="6" t="s">
        <v>4</v>
      </c>
      <c r="D4" s="6">
        <f>COUNTIF('Test Case'!$B:$B,$A4)</f>
        <v>11</v>
      </c>
      <c r="E4" s="6">
        <f t="shared" ref="E4:E11" si="0">F4+G4</f>
        <v>7</v>
      </c>
      <c r="F4" s="6">
        <f>COUNTIFS('Test Case'!$B:$B,$A4,'Test Case'!$L:$L,"PASS")</f>
        <v>7</v>
      </c>
      <c r="G4" s="6">
        <f>COUNTIFS('Test Case'!$B:$B,$A4,'Test Case'!$L:$L,"FAIL")</f>
        <v>0</v>
      </c>
      <c r="H4" s="6">
        <f t="shared" ref="H4:H11" si="1">D4-E4</f>
        <v>4</v>
      </c>
      <c r="I4" s="9">
        <f t="shared" ref="I4:I12" si="2">IF(E4=0,"-",F4/E4)</f>
        <v>1</v>
      </c>
      <c r="J4" s="6">
        <f>COUNTIFS('Bug Report'!$A:$A,"BUG-N5-*",'Bug Report'!$B:$B,"TC-"&amp;RIGHT($A4,2)&amp;"-*")</f>
        <v>0</v>
      </c>
    </row>
    <row r="5" spans="1:10" x14ac:dyDescent="0.25">
      <c r="A5" s="5" t="s">
        <v>5</v>
      </c>
      <c r="B5" s="1" t="s">
        <v>6</v>
      </c>
      <c r="C5" s="6" t="s">
        <v>4</v>
      </c>
      <c r="D5" s="6">
        <f>COUNTIF('Test Case'!$B:$B,$A5)</f>
        <v>11</v>
      </c>
      <c r="E5" s="6">
        <f t="shared" si="0"/>
        <v>2</v>
      </c>
      <c r="F5" s="6">
        <f>COUNTIFS('Test Case'!$B:$B,$A5,'Test Case'!$L:$L,"PASS")</f>
        <v>2</v>
      </c>
      <c r="G5" s="6">
        <f>COUNTIFS('Test Case'!$B:$B,$A5,'Test Case'!$L:$L,"FAIL")</f>
        <v>0</v>
      </c>
      <c r="H5" s="6">
        <f t="shared" si="1"/>
        <v>9</v>
      </c>
      <c r="I5" s="9">
        <f t="shared" si="2"/>
        <v>1</v>
      </c>
      <c r="J5" s="6">
        <f>COUNTIFS('Bug Report'!$A:$A,"BUG-N5-*",'Bug Report'!$B:$B,"TC-"&amp;RIGHT($A5,2)&amp;"-*")</f>
        <v>0</v>
      </c>
    </row>
    <row r="6" spans="1:10" x14ac:dyDescent="0.25">
      <c r="A6" s="5" t="s">
        <v>7</v>
      </c>
      <c r="B6" s="1" t="s">
        <v>8</v>
      </c>
      <c r="C6" s="6" t="s">
        <v>4</v>
      </c>
      <c r="D6" s="6">
        <f>COUNTIF('Test Case'!$B:$B,$A6)</f>
        <v>13</v>
      </c>
      <c r="E6" s="6">
        <f t="shared" si="0"/>
        <v>0</v>
      </c>
      <c r="F6" s="6">
        <f>COUNTIFS('Test Case'!$B:$B,$A6,'Test Case'!$L:$L,"PASS")</f>
        <v>0</v>
      </c>
      <c r="G6" s="6">
        <f>COUNTIFS('Test Case'!$B:$B,$A6,'Test Case'!$L:$L,"FAIL")</f>
        <v>0</v>
      </c>
      <c r="H6" s="6">
        <f t="shared" si="1"/>
        <v>13</v>
      </c>
      <c r="I6" s="9" t="str">
        <f t="shared" si="2"/>
        <v>-</v>
      </c>
      <c r="J6" s="6">
        <f>COUNTIFS('Bug Report'!$A:$A,"BUG-N5-*",'Bug Report'!$B:$B,"TC-"&amp;RIGHT($A6,2)&amp;"-*")</f>
        <v>0</v>
      </c>
    </row>
    <row r="7" spans="1:10" ht="25.5" x14ac:dyDescent="0.25">
      <c r="A7" s="5" t="s">
        <v>9</v>
      </c>
      <c r="B7" s="1" t="s">
        <v>10</v>
      </c>
      <c r="C7" s="6" t="s">
        <v>4</v>
      </c>
      <c r="D7" s="6">
        <f>COUNTIF('Test Case'!$B:$B,$A7)</f>
        <v>11</v>
      </c>
      <c r="E7" s="6">
        <f t="shared" si="0"/>
        <v>0</v>
      </c>
      <c r="F7" s="6">
        <f>COUNTIFS('Test Case'!$B:$B,$A7,'Test Case'!$L:$L,"PASS")</f>
        <v>0</v>
      </c>
      <c r="G7" s="6">
        <f>COUNTIFS('Test Case'!$B:$B,$A7,'Test Case'!$L:$L,"FAIL")</f>
        <v>0</v>
      </c>
      <c r="H7" s="6">
        <f t="shared" si="1"/>
        <v>11</v>
      </c>
      <c r="I7" s="9" t="str">
        <f t="shared" si="2"/>
        <v>-</v>
      </c>
      <c r="J7" s="6">
        <f>COUNTIFS('Bug Report'!$A:$A,"BUG-N5-*",'Bug Report'!$B:$B,"TC-"&amp;RIGHT($A7,2)&amp;"-*")</f>
        <v>0</v>
      </c>
    </row>
    <row r="8" spans="1:10" x14ac:dyDescent="0.25">
      <c r="A8" s="5" t="s">
        <v>11</v>
      </c>
      <c r="B8" s="1" t="s">
        <v>12</v>
      </c>
      <c r="C8" s="6" t="s">
        <v>13</v>
      </c>
      <c r="D8" s="6">
        <f>COUNTIF('Test Case'!$B:$B,$A8)</f>
        <v>5</v>
      </c>
      <c r="E8" s="6">
        <f t="shared" si="0"/>
        <v>0</v>
      </c>
      <c r="F8" s="6">
        <f>COUNTIFS('Test Case'!$B:$B,$A8,'Test Case'!$L:$L,"PASS")</f>
        <v>0</v>
      </c>
      <c r="G8" s="6">
        <f>COUNTIFS('Test Case'!$B:$B,$A8,'Test Case'!$L:$L,"FAIL")</f>
        <v>0</v>
      </c>
      <c r="H8" s="6">
        <f t="shared" si="1"/>
        <v>5</v>
      </c>
      <c r="I8" s="9" t="str">
        <f t="shared" si="2"/>
        <v>-</v>
      </c>
      <c r="J8" s="6">
        <f>COUNTIFS('Bug Report'!$A:$A,"BUG-N5-*",'Bug Report'!$B:$B,"TC-"&amp;RIGHT($A8,2)&amp;"-*")</f>
        <v>0</v>
      </c>
    </row>
    <row r="9" spans="1:10" x14ac:dyDescent="0.25">
      <c r="A9" s="5" t="s">
        <v>14</v>
      </c>
      <c r="B9" s="1" t="s">
        <v>15</v>
      </c>
      <c r="C9" s="6" t="s">
        <v>13</v>
      </c>
      <c r="D9" s="6">
        <f>COUNTIF('Test Case'!$B:$B,$A9)</f>
        <v>6</v>
      </c>
      <c r="E9" s="6">
        <f t="shared" si="0"/>
        <v>0</v>
      </c>
      <c r="F9" s="6">
        <f>COUNTIFS('Test Case'!$B:$B,$A9,'Test Case'!$L:$L,"PASS")</f>
        <v>0</v>
      </c>
      <c r="G9" s="6">
        <f>COUNTIFS('Test Case'!$B:$B,$A9,'Test Case'!$L:$L,"FAIL")</f>
        <v>0</v>
      </c>
      <c r="H9" s="6">
        <f t="shared" si="1"/>
        <v>6</v>
      </c>
      <c r="I9" s="9" t="str">
        <f t="shared" si="2"/>
        <v>-</v>
      </c>
      <c r="J9" s="6">
        <f>COUNTIFS('Bug Report'!$A:$A,"BUG-N5-*",'Bug Report'!$B:$B,"TC-"&amp;RIGHT($A9,2)&amp;"-*")</f>
        <v>0</v>
      </c>
    </row>
    <row r="10" spans="1:10" x14ac:dyDescent="0.25">
      <c r="A10" s="5" t="s">
        <v>16</v>
      </c>
      <c r="B10" s="1" t="s">
        <v>17</v>
      </c>
      <c r="C10" s="6" t="s">
        <v>13</v>
      </c>
      <c r="D10" s="6">
        <f>COUNTIF('Test Case'!$B:$B,$A10)</f>
        <v>5</v>
      </c>
      <c r="E10" s="6">
        <f t="shared" si="0"/>
        <v>0</v>
      </c>
      <c r="F10" s="6">
        <f>COUNTIFS('Test Case'!$B:$B,$A10,'Test Case'!$L:$L,"PASS")</f>
        <v>0</v>
      </c>
      <c r="G10" s="6">
        <f>COUNTIFS('Test Case'!$B:$B,$A10,'Test Case'!$L:$L,"FAIL")</f>
        <v>0</v>
      </c>
      <c r="H10" s="6">
        <f t="shared" si="1"/>
        <v>5</v>
      </c>
      <c r="I10" s="9" t="str">
        <f t="shared" si="2"/>
        <v>-</v>
      </c>
      <c r="J10" s="6">
        <f>COUNTIFS('Bug Report'!$A:$A,"BUG-N5-*",'Bug Report'!$B:$B,"TC-"&amp;RIGHT($A10,2)&amp;"-*")</f>
        <v>0</v>
      </c>
    </row>
    <row r="11" spans="1:10" x14ac:dyDescent="0.25">
      <c r="A11" s="5" t="s">
        <v>18</v>
      </c>
      <c r="B11" s="1" t="s">
        <v>19</v>
      </c>
      <c r="C11" s="6" t="s">
        <v>13</v>
      </c>
      <c r="D11" s="6">
        <f>COUNTIF('Test Case'!$B:$B,$A11)</f>
        <v>6</v>
      </c>
      <c r="E11" s="6">
        <f t="shared" si="0"/>
        <v>0</v>
      </c>
      <c r="F11" s="6">
        <f>COUNTIFS('Test Case'!$B:$B,$A11,'Test Case'!$L:$L,"PASS")</f>
        <v>0</v>
      </c>
      <c r="G11" s="6">
        <f>COUNTIFS('Test Case'!$B:$B,$A11,'Test Case'!$L:$L,"FAIL")</f>
        <v>0</v>
      </c>
      <c r="H11" s="6">
        <f t="shared" si="1"/>
        <v>6</v>
      </c>
      <c r="I11" s="9" t="str">
        <f t="shared" si="2"/>
        <v>-</v>
      </c>
      <c r="J11" s="6">
        <f>COUNTIFS('Bug Report'!$A:$A,"BUG-N5-*",'Bug Report'!$B:$B,"TC-"&amp;RIGHT($A11,2)&amp;"-*")</f>
        <v>0</v>
      </c>
    </row>
    <row r="12" spans="1:10" x14ac:dyDescent="0.25">
      <c r="A12" s="10" t="s">
        <v>473</v>
      </c>
      <c r="B12" s="3" t="s">
        <v>474</v>
      </c>
      <c r="C12" s="11"/>
      <c r="D12" s="10">
        <f>SUM(D4:D11)</f>
        <v>68</v>
      </c>
      <c r="E12" s="10">
        <f>SUM(E4:E11)</f>
        <v>9</v>
      </c>
      <c r="F12" s="10">
        <f>SUM(F4:F11)</f>
        <v>9</v>
      </c>
      <c r="G12" s="10">
        <f>SUM(G4:G11)</f>
        <v>0</v>
      </c>
      <c r="H12" s="10">
        <f>SUM(H4:H11)</f>
        <v>59</v>
      </c>
      <c r="I12" s="12">
        <f t="shared" si="2"/>
        <v>1</v>
      </c>
      <c r="J12" s="10">
        <f>SUM(J4:J11)</f>
        <v>0</v>
      </c>
    </row>
    <row r="14" spans="1:10" x14ac:dyDescent="0.25">
      <c r="A14" s="13" t="s">
        <v>475</v>
      </c>
    </row>
    <row r="15" spans="1:10" ht="31.5" customHeight="1" x14ac:dyDescent="0.25">
      <c r="A15" s="4" t="s">
        <v>24</v>
      </c>
      <c r="B15" s="4"/>
      <c r="C15" s="4"/>
      <c r="D15" s="4" t="s">
        <v>467</v>
      </c>
      <c r="E15" s="4" t="s">
        <v>469</v>
      </c>
      <c r="F15" s="4" t="s">
        <v>470</v>
      </c>
    </row>
    <row r="16" spans="1:10" x14ac:dyDescent="0.25">
      <c r="A16" s="7" t="s">
        <v>37</v>
      </c>
      <c r="B16" s="1"/>
      <c r="C16" s="1"/>
      <c r="D16" s="6">
        <f>COUNTIF('Test Case'!$D:$D,$A16)</f>
        <v>16</v>
      </c>
      <c r="E16" s="6">
        <f>COUNTIFS('Test Case'!$D:$D,$A16,'Test Case'!$L:$L,"PASS")</f>
        <v>3</v>
      </c>
      <c r="F16" s="6">
        <f>COUNTIFS('Test Case'!$D:$D,$A16,'Test Case'!$L:$L,"FAIL")</f>
        <v>0</v>
      </c>
    </row>
    <row r="17" spans="1:10" x14ac:dyDescent="0.25">
      <c r="A17" s="7" t="s">
        <v>54</v>
      </c>
      <c r="B17" s="1"/>
      <c r="C17" s="1"/>
      <c r="D17" s="6">
        <f>COUNTIF('Test Case'!$D:$D,$A17)</f>
        <v>20</v>
      </c>
      <c r="E17" s="6">
        <f>COUNTIFS('Test Case'!$D:$D,$A17,'Test Case'!$L:$L,"PASS")</f>
        <v>2</v>
      </c>
      <c r="F17" s="6">
        <f>COUNTIFS('Test Case'!$D:$D,$A17,'Test Case'!$L:$L,"FAIL")</f>
        <v>0</v>
      </c>
    </row>
    <row r="18" spans="1:10" x14ac:dyDescent="0.25">
      <c r="A18" s="7" t="s">
        <v>74</v>
      </c>
      <c r="B18" s="1"/>
      <c r="C18" s="1"/>
      <c r="D18" s="6">
        <f>COUNTIF('Test Case'!$D:$D,$A18)</f>
        <v>12</v>
      </c>
      <c r="E18" s="6">
        <f>COUNTIFS('Test Case'!$D:$D,$A18,'Test Case'!$L:$L,"PASS")</f>
        <v>3</v>
      </c>
      <c r="F18" s="6">
        <f>COUNTIFS('Test Case'!$D:$D,$A18,'Test Case'!$L:$L,"FAIL")</f>
        <v>0</v>
      </c>
    </row>
    <row r="19" spans="1:10" x14ac:dyDescent="0.25">
      <c r="A19" s="7" t="s">
        <v>20</v>
      </c>
      <c r="B19" s="1"/>
      <c r="C19" s="1"/>
      <c r="D19" s="6">
        <f>COUNTIF('Test Case'!$D:$D,$A19)</f>
        <v>19</v>
      </c>
      <c r="E19" s="6">
        <f>COUNTIFS('Test Case'!$D:$D,$A19,'Test Case'!$L:$L,"PASS")</f>
        <v>1</v>
      </c>
      <c r="F19" s="6">
        <f>COUNTIFS('Test Case'!$D:$D,$A19,'Test Case'!$L:$L,"FAIL")</f>
        <v>0</v>
      </c>
    </row>
    <row r="20" spans="1:10" x14ac:dyDescent="0.25">
      <c r="A20" s="7" t="s">
        <v>329</v>
      </c>
      <c r="B20" s="1"/>
      <c r="C20" s="1"/>
      <c r="D20" s="6">
        <f>COUNTIF('Test Case'!$D:$D,$A20)</f>
        <v>1</v>
      </c>
      <c r="E20" s="6">
        <f>COUNTIFS('Test Case'!$D:$D,$A20,'Test Case'!$L:$L,"PASS")</f>
        <v>0</v>
      </c>
      <c r="F20" s="6">
        <f>COUNTIFS('Test Case'!$D:$D,$A20,'Test Case'!$L:$L,"FAIL")</f>
        <v>0</v>
      </c>
    </row>
    <row r="23" spans="1:10" x14ac:dyDescent="0.25">
      <c r="A23" s="13" t="s">
        <v>476</v>
      </c>
    </row>
    <row r="24" spans="1:10" ht="31.5" customHeight="1" x14ac:dyDescent="0.25">
      <c r="A24" s="4" t="s">
        <v>477</v>
      </c>
      <c r="B24" s="4"/>
      <c r="C24" s="4"/>
      <c r="D24" s="4" t="s">
        <v>472</v>
      </c>
      <c r="E24" s="4" t="s">
        <v>478</v>
      </c>
      <c r="F24" s="4" t="s">
        <v>479</v>
      </c>
    </row>
    <row r="25" spans="1:10" x14ac:dyDescent="0.25">
      <c r="A25" s="7" t="s">
        <v>480</v>
      </c>
      <c r="B25" s="1"/>
      <c r="C25" s="1"/>
      <c r="D25" s="6">
        <f>COUNTIFS('Bug Report'!$A:$A,"BUG-N5-*",'Bug Report'!$G:$G,$A25)</f>
        <v>0</v>
      </c>
      <c r="E25" s="6">
        <f>COUNTIFS('Bug Report'!$A:$A,"BUG-N5-*",'Bug Report'!$G:$G,$A25,'Bug Report'!$I:$I,"Đã retest đạt")</f>
        <v>0</v>
      </c>
      <c r="F25" s="6">
        <f>D25-E25</f>
        <v>0</v>
      </c>
    </row>
    <row r="26" spans="1:10" x14ac:dyDescent="0.25">
      <c r="A26" s="7" t="s">
        <v>464</v>
      </c>
      <c r="B26" s="1"/>
      <c r="C26" s="1"/>
      <c r="D26" s="6">
        <f>COUNTIFS('Bug Report'!$A:$A,"BUG-N5-*",'Bug Report'!$G:$G,$A26)</f>
        <v>0</v>
      </c>
      <c r="E26" s="6">
        <f>COUNTIFS('Bug Report'!$A:$A,"BUG-N5-*",'Bug Report'!$G:$G,$A26,'Bug Report'!$I:$I,"Đã retest đạt")</f>
        <v>0</v>
      </c>
      <c r="F26" s="6">
        <f>D26-E26</f>
        <v>0</v>
      </c>
    </row>
    <row r="27" spans="1:10" x14ac:dyDescent="0.25">
      <c r="A27" s="7" t="s">
        <v>481</v>
      </c>
      <c r="B27" s="1"/>
      <c r="C27" s="1"/>
      <c r="D27" s="6">
        <f>COUNTIFS('Bug Report'!$A:$A,"BUG-N5-*",'Bug Report'!$G:$G,$A27)</f>
        <v>0</v>
      </c>
      <c r="E27" s="6">
        <f>COUNTIFS('Bug Report'!$A:$A,"BUG-N5-*",'Bug Report'!$G:$G,$A27,'Bug Report'!$I:$I,"Đã retest đạt")</f>
        <v>0</v>
      </c>
      <c r="F27" s="6">
        <f>D27-E27</f>
        <v>0</v>
      </c>
    </row>
    <row r="28" spans="1:10" x14ac:dyDescent="0.25">
      <c r="A28" s="7" t="s">
        <v>482</v>
      </c>
      <c r="B28" s="1"/>
      <c r="C28" s="1"/>
      <c r="D28" s="6">
        <f>COUNTIFS('Bug Report'!$A:$A,"BUG-N5-*",'Bug Report'!$G:$G,$A28)</f>
        <v>0</v>
      </c>
      <c r="E28" s="6">
        <f>COUNTIFS('Bug Report'!$A:$A,"BUG-N5-*",'Bug Report'!$G:$G,$A28,'Bug Report'!$I:$I,"Đã retest đạt")</f>
        <v>0</v>
      </c>
      <c r="F28" s="6">
        <f>D28-E28</f>
        <v>0</v>
      </c>
    </row>
    <row r="30" spans="1:10" x14ac:dyDescent="0.25">
      <c r="A30" s="13" t="s">
        <v>483</v>
      </c>
    </row>
    <row r="31" spans="1:10" ht="19.5" customHeight="1" x14ac:dyDescent="0.25">
      <c r="A31" s="3" t="s">
        <v>484</v>
      </c>
      <c r="B31" s="15" t="str">
        <f>"Đã chạy "&amp;E12&amp;" / "&amp;D12&amp;" TC; PASS "&amp;F12&amp;"; FAIL "&amp;G12&amp;"; tỉ lệ pass "&amp;IF(E12=0,"-",TEXT(F12/E12,"0.0%"))</f>
        <v>Đã chạy 9 / 68 TC; PASS 9; FAIL 0; tỉ lệ pass 100.0%</v>
      </c>
      <c r="C31" s="15"/>
      <c r="D31" s="15"/>
      <c r="E31" s="15"/>
      <c r="F31" s="15"/>
      <c r="G31" s="15"/>
      <c r="H31" s="15"/>
      <c r="I31" s="15"/>
      <c r="J31" s="15"/>
    </row>
    <row r="32" spans="1:10" ht="48" customHeight="1" x14ac:dyDescent="0.25">
      <c r="A32" s="3" t="s">
        <v>485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48" customHeight="1" x14ac:dyDescent="0.25">
      <c r="A33" s="3" t="s">
        <v>486</v>
      </c>
      <c r="B33" s="16"/>
      <c r="C33" s="16"/>
      <c r="D33" s="16"/>
      <c r="E33" s="16"/>
      <c r="F33" s="16"/>
      <c r="G33" s="16"/>
      <c r="H33" s="16"/>
      <c r="I33" s="16"/>
      <c r="J33" s="16"/>
    </row>
    <row r="34" spans="1:10" ht="48" customHeight="1" x14ac:dyDescent="0.25">
      <c r="A34" s="3" t="s">
        <v>487</v>
      </c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48" customHeight="1" x14ac:dyDescent="0.25">
      <c r="A35" s="3" t="s">
        <v>488</v>
      </c>
      <c r="B35" s="16"/>
      <c r="C35" s="16"/>
      <c r="D35" s="16"/>
      <c r="E35" s="16"/>
      <c r="F35" s="16"/>
      <c r="G35" s="16"/>
      <c r="H35" s="16"/>
      <c r="I35" s="16"/>
      <c r="J35" s="16"/>
    </row>
  </sheetData>
  <mergeCells count="5">
    <mergeCell ref="B31:J31"/>
    <mergeCell ref="B32:J32"/>
    <mergeCell ref="B33:J33"/>
    <mergeCell ref="B34:J34"/>
    <mergeCell ref="B35:J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</vt:lpstr>
      <vt:lpstr>Bug Report</vt:lpstr>
      <vt:lpstr>Tổng hợp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kiethoangsinhnam2006@gmail.com</cp:lastModifiedBy>
  <cp:revision>0</cp:revision>
  <dcterms:created xsi:type="dcterms:W3CDTF">2026-10-11T01:16:51Z</dcterms:created>
  <dcterms:modified xsi:type="dcterms:W3CDTF">2026-10-11T06:18:25Z</dcterms:modified>
  <dc:language>en-US</dc:language>
</cp:coreProperties>
</file>