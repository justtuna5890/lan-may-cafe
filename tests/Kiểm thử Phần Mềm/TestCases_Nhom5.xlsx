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0827EC87-1101-4763-A0B5-FB91121E842C}"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<sst xmlns="http://schemas.openxmlformats.org/spreadsheetml/2006/main" count="1177" uniqueCount="703">
  <si>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</si>
  <si>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</si>
  <si>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</si>
  <si>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</si>
  <si>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</si>
  <si>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</si>
  <si>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</si>
  <si>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</si>
  <si>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</si>
  <si>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</si>
  <si>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</si>
  <si>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</si>
  <si>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</si>
  <si>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</si>
  <si>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</si>
  <si>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</si>
  <si>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</si>
  <si>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</si>
  <si>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</si>
  <si>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</si>
  <si>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</si>
  <si>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</si>
  <si>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</si>
  <si>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</si>
  <si>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</si>
  <si>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</si>
  <si>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</si>
  <si>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</si>
  <si>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</si>
  <si>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</si>
  <si>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</si>
  <si>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</si>
  <si>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</si>
  <si>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</si>
  <si>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</si>
  <si>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</si>
  <si>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</si>
  <si>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</si>
  <si>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</si>
  <si>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</si>
  <si>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</si>
  <si>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</si>
  <si>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</si>
  <si>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</si>
  <si>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</si>
  <si>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</si>
  <si>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</si>
  <si>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</si>
  <si>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</si>
  <si>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</si>
  <si>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</si>
  <si>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</si>
  <si>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</si>
  <si>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</si>
  <si>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</si>
  <si>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</si>
  <si>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</si>
  <si>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</si>
  <si>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</si>
  <si>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</si>
  <si>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</si>
  <si>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</si>
  <si>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</si>
  <si>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</si>
  <si>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</si>
  <si>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</si>
  <si>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</si>
  <si>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</si>
  <si>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</si>
  <si>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</si>
  <si>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</si>
  <si>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</si>
  <si>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</si>
  <si>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</si>
  <si>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</si>
  <si>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</si>
  <si>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</si>
  <si>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</si>
  <si>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</si>
  <si>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</si>
  <si>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</si>
  <si>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</si>
  <si>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</si>
  <si>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</si>
  <si>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</si>
  <si>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</si>
  <si>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</si>
  <si>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</si>
  <si>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</si>
  <si>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</si>
  <si>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</si>
  <si>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</si>
  <si>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</si>
  <si>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</si>
  <si>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</si>
  <si>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</si>
  <si>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</si>
  <si>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</si>
  <si>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</si>
  <si>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</si>
  <si>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</si>
  <si>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</si>
  <si>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</si>
  <si>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</si>
  <si>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</si>
  <si>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</si>
  <si>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</si>
  <si>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</si>
  <si>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</si>
  <si>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</si>
  <si>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</si>
  <si>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</si>
  <si>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</si>
  <si>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</si>
  <si>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</si>
  <si>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</si>
  <si>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</si>
  <si>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</si>
  <si>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</si>
  <si>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</si>
  <si>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</si>
  <si>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</si>
  <si>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</si>
  <si>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</si>
  <si>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</si>
  <si>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</si>
  <si>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</si>
  <si>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</si>
  <si>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</si>
  <si>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</si>
  <si>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</si>
  <si>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</si>
  <si>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</si>
  <si>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</si>
  <si>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</si>
  <si>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</si>
  <si>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</si>
  <si>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</si>
  <si>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</si>
  <si>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</si>
  <si>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</si>
  <si>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</si>
  <si>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</si>
  <si>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</si>
  <si>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</si>
  <si>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</si>
  <si>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</si>
  <si>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</si>
  <si>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</si>
  <si>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</si>
  <si>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</si>
  <si>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</si>
  <si>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</si>
  <si>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</si>
  <si>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</si>
  <si>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</si>
  <si>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</si>
  <si>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</si>
  <si>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</si>
  <si>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</si>
  <si>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</si>
  <si>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</si>
  <si>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</si>
  <si>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</si>
  <si>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</si>
  <si>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</si>
  <si>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</si>
  <si>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</si>
  <si>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</si>
  <si>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</si>
  <si>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</si>
  <si>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</si>
  <si>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</si>
  <si>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</si>
  <si>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</si>
  <si>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</si>
  <si>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</si>
  <si>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</si>
  <si>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</si>
  <si>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</si>
  <si>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</si>
  <si>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</si>
  <si>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</si>
  <si>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</si>
  <si>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</si>
  <si>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</si>
  <si>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</si>
  <si>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</si>
  <si>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</si>
  <si>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</si>
  <si>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</si>
  <si>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</si>
  <si>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</si>
  <si>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</si>
  <si>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</si>
  <si>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</si>
  <si>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</si>
  <si>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</si>
  <si>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</si>
  <si>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</si>
  <si>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</si>
  <si>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</si>
  <si>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</si>
  <si>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</si>
  <si>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</si>
  <si>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</si>
  <si>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</si>
  <si>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</si>
  <si>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</si>
  <si>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</si>
  <si>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</si>
  <si>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</si>
  <si>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</si>
  <si>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</si>
  <si>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</si>
  <si>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</si>
  <si>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</si>
  <si>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</si>
  <si>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</si>
  <si>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</si>
  <si>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</si>
  <si>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</si>
  <si>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</si>
  <si>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</si>
  <si>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</si>
  <si>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</si>
  <si>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</si>
  <si>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</si>
  <si>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</si>
  <si>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</si>
  <si>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</si>
  <si>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</si>
  <si>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</si>
  <si>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</si>
  <si>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</si>
  <si>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</si>
  <si>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</si>
  <si>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</si>
  <si>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</si>
  <si>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</si>
  <si>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</si>
  <si>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</si>
  <si>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</si>
  <si>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</si>
  <si>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</si>
  <si>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</si>
  <si>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</si>
  <si>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</si>
  <si>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</si>
  <si>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</si>
  <si>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</si>
  <si>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</si>
  <si>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</si>
  <si>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</si>
  <si>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</si>
  <si>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</si>
  <si>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</si>
  <si>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</si>
  <si>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</si>
  <si>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</si>
  <si>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</si>
  <si>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</si>
  <si>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</si>
  <si>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</si>
  <si>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</si>
  <si>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</si>
  <si>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</si>
  <si>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</si>
  <si>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</si>
  <si>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</si>
  <si>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</si>
  <si>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</si>
  <si>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</si>
  <si>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</si>
  <si>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</si>
  <si>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</si>
  <si>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</si>
  <si>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</si>
  <si>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</si>
  <si>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</si>
  <si>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</si>
  <si>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</si>
  <si>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</si>
  <si>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</si>
  <si>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</si>
  <si>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</si>
  <si>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</si>
  <si>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</si>
  <si>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</si>
  <si>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</si>
  <si>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</si>
  <si>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</si>
  <si>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</si>
  <si>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</si>
  <si>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</si>
  <si>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</si>
  <si>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</si>
  <si>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</si>
  <si>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</si>
  <si>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</si>
  <si>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</si>
  <si>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</si>
  <si>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</si>
  <si>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</si>
  <si>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</si>
  <si>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</si>
  <si>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</si>
  <si>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</si>
  <si>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</si>
  <si>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</si>
  <si>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</si>
  <si>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</si>
  <si>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</si>
  <si>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</si>
  <si>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</si>
  <si>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</si>
  <si>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</si>
  <si>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</si>
  <si>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</si>
  <si>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</si>
  <si>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</si>
  <si>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</si>
  <si>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</si>
  <si>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</si>
  <si>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</si>
  <si>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</si>
  <si>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</si>
  <si>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</si>
  <si>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</si>
  <si>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</si>
  <si>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</si>
  <si>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</si>
  <si>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</si>
  <si>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</si>
  <si>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</si>
  <si>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</si>
  <si>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</si>
  <si>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</si>
  <si>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</si>
  <si>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</si>
  <si>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</si>
  <si>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</si>
  <si>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</si>
  <si>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</si>
  <si>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</si>
  <si>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</si>
  <si>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</si>
  <si>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</si>
  <si>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</si>
  <si>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</si>
  <si>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</si>
  <si>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</si>
  <si>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</si>
  <si>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</si>
  <si>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</si>
  <si>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</si>
  <si>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</si>
  <si>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</si>
  <si>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</si>
  <si>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</si>
  <si>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</si>
  <si>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</si>
  <si>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</si>
  <si>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</si>
  <si>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</si>
  <si>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</si>
  <si>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</si>
  <si>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</si>
  <si>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</si>
  <si>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</si>
  <si>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</si>
  <si>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</si>
  <si>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</si>
  <si>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</si>
  <si>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</si>
  <si>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</si>
  <si>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</si>
  <si>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</si>
  <si>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</si>
  <si>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</si>
  <si>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</si>
  <si>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</si>
  <si>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</si>
  <si>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</si>
  <si>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</si>
  <si>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</si>
  <si>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</si>
  <si>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</si>
  <si>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</si>
  <si>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</si>
  <si>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</si>
  <si>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</si>
  <si>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</si>
  <si>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</si>
  <si>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</si>
  <si>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</si>
  <si>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</si>
  <si>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</si>
  <si>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</si>
  <si>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</si>
  <si>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</si>
  <si>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</si>
  <si>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</si>
  <si>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</si>
  <si>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</si>
  <si>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</si>
  <si>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</si>
  <si>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</si>
  <si>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</si>
  <si>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</si>
  <si>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</si>
  <si>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</si>
  <si>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</si>
  <si>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</si>
  <si>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</si>
  <si>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</si>
  <si>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</si>
  <si>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</si>
  <si>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</si>
  <si>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</si>
  <si>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</si>
  <si>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</si>
  <si>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</si>
  <si>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</si>
  <si>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</si>
  <si>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</si>
  <si>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</si>
  <si>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</si>
  <si>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</si>
  <si>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</si>
  <si>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</si>
  <si>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</si>
  <si>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</si>
  <si>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</si>
  <si>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</si>
  <si>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</si>
  <si>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</si>
  <si>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</si>
  <si>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</si>
  <si>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</si>
  <si>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</si>
  <si>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</si>
  <si>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</si>
  <si>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</si>
  <si>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</si>
  <si>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</si>
  <si>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</si>
  <si>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</si>
  <si>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</si>
  <si>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</si>
  <si>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</si>
  <si>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</si>
  <si>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</si>
  <si>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</si>
  <si>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</si>
  <si>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</si>
  <si>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</si>
  <si>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</si>
  <si>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</si>
  <si>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</si>
  <si>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</si>
  <si>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</si>
  <si>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</si>
  <si>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</si>
  <si>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</si>
  <si>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</si>
  <si>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</si>
  <si>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</si>
  <si>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</si>
  <si>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</si>
  <si>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</si>
  <si>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</si>
  <si>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</si>
  <si>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</si>
  <si>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</si>
  <si>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</si>
  <si>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</si>
  <si>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</si>
  <si>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</si>
  <si>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</si>
  <si>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</si>
  <si>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</si>
  <si>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</si>
  <si>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</si>
  <si>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</si>
  <si>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</si>
  <si>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</si>
  <si>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</si>
  <si>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</si>
  <si>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</si>
  <si>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</si>
  <si>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</si>
  <si>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</si>
  <si>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</si>
  <si>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</si>
  <si>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</si>
  <si>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</si>
  <si>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</si>
  <si>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</si>
  <si>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</si>
  <si>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</si>
  <si>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</si>
  <si>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</si>
  <si>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</si>
  <si>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</si>
  <si>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</si>
  <si>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</si>
  <si>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</si>
  <si>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</si>
  <si>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</si>
  <si>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</si>
  <si>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</si>
  <si>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</si>
  <si>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</si>
  <si>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</si>
  <si>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</si>
  <si>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</si>
  <si>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</si>
  <si>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</si>
  <si>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</si>
  <si>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</si>
  <si>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</si>
  <si>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</si>
  <si>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</si>
  <si>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</si>
  <si>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</si>
  <si>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</si>
  <si>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</si>
  <si>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</si>
  <si>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</si>
  <si>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</si>
  <si>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</si>
  <si>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</si>
  <si>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</si>
  <si>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</si>
  <si>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</si>
  <si>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</si>
  <si>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</si>
  <si>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</si>
  <si>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</si>
  <si>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</si>
  <si>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</si>
  <si>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</si>
  <si>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</si>
  <si>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</si>
  <si>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</si>
  <si>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</si>
  <si>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</si>
  <si>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</si>
  <si>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</si>
  <si>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</si>
  <si>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</si>
  <si>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</si>
  <si>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</si>
  <si>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</si>
  <si>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</si>
  <si>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</si>
  <si>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</si>
  <si>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</si>
  <si>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</si>
  <si>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</si>
  <si>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</si>
  <si>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</si>
  <si>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</si>
  <si>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</si>
  <si>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</si>
  <si>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</si>
  <si>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</si>
  <si>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</si>
  <si>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</si>
  <si>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</si>
  <si>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</si>
  <si>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</si>
  <si>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</si>
  <si>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</si>
  <si>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</si>
  <si>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</si>
  <si>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</si>
  <si>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</si>
  <si>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</si>
  <si>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</si>
  <si>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</si>
  <si>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</si>
  <si>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</si>
  <si>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</si>
  <si>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</si>
  <si>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</si>
  <si>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</si>
  <si>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</si>
  <si>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</si>
  <si>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</si>
  <si>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</si>
  <si>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</si>
  <si>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</si>
  <si>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</si>
  <si>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</si>
  <si>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</si>
  <si>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</si>
  <si>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</si>
  <si>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</si>
  <si>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</si>
  <si>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</si>
  <si>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</si>
  <si>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</si>
  <si>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</si>
  <si>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</si>
  <si>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</si>
  <si>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</si>
  <si>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</si>
  <si>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</si>
  <si>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</si>
  <si>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</si>
  <si>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</si>
  <si>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</si>
  <si>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</si>
  <si>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</si>
  <si>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</si>
  <si>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</si>
  <si>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</si>
  <si>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</si>
  <si>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</si>
  <si>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</si>
  <si>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</si>
  <si>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</si>
  <si>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</si>
  <si>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</si>
  <si>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</si>
  <si>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</si>
  <si>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</si>
  <si>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</si>
  <si>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</si>
  <si>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</si>
  <si>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</si>
  <si>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</si>
  <si>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</si>
  <si>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</si>
  <si>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</si>
  <si>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</si>
  <si>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</si>
  <si>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</si>
  <si>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</si>
  <si>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</si>
  <si>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</si>
  <si>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</si>
  <si>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</si>
  <si>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</si>
  <si>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</si>
  <si>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</si>
  <si>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</si>
  <si>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</si>
  <si>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</si>
  <si>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</si>
  <si>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</si>
  <si>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</si>
  <si>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</si>
  <si>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</si>
  <si>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</si>
  <si>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</si>
  <si>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</si>
  <si>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</si>
  <si>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</si>
  <si>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</si>
  <si>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</si>
  <si>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</si>
  <si>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</si>
  <si>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</si>
  <si>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</si>
  <si>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</si>
  <si>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</si>
  <si>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</si>
  <si>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</si>
  <si>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</si>
  <si>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</si>
  <si>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</si>
  <si>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</si>
  <si>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</si>
  <si>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</si>
  <si>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</si>
  <si>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</si>
  <si>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</si>
  <si>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</si>
  <si>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</si>
  <si>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</si>
  <si>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</si>
  <si>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</si>
  <si>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</si>
  <si>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</si>
  <si>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</si>
  <si>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</si>
  <si>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</si>
  <si>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</si>
  <si>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</si>
  <si>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</si>
  <si>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</si>
  <si>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</si>
  <si>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</si>
  <si>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</si>
  <si>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</si>
  <si>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</si>
  <si>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</si>
  <si>
    <t>KQ-test\TC-24-01.png</t>
  </si>
  <si>
    <t>KQ-test\TC-24-03.png</t>
  </si>
  <si>
    <t>KQ-test\TC-24-04.png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</si>
</sst>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42" Type="http://schemas.openxmlformats.org/officeDocument/2006/relationships/hyperlink" Target="KQ-test\TC-24-02.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41" Type="http://schemas.openxmlformats.org/officeDocument/2006/relationships/hyperlink" Target="KQ-test\TC-24-0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4" Type="http://schemas.openxmlformats.org/officeDocument/2006/relationships/hyperlink" Target="KQ-test\TC-24-04.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43" Type="http://schemas.openxmlformats.org/officeDocument/2006/relationships/hyperlink" Target="KQ-test\TC-24-03.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I82" activePane="bottomRight" state="frozen"/>
      <selection pane="topRight" activeCell="D1" sqref="D1"/>
      <selection pane="bottomLeft" activeCell="A3" sqref="A3"/>
      <selection pane="bottomRight" activeCell="M83" sqref="M83"/>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700</v>
      </c>
      <c r="N80" s="16"/>
    </row>
    <row r="81" spans="1:14" ht="63.75">
      <c r="A81" s="15" t="s">
        <v>616</v>
      </c>
      <c r="B81" s="15" t="s">
        <v>519</v>
      </c>
      <c r="C81" s="16" t="s">
        <v>617</v>
      </c>
      <c r="D81" s="16" t="s">
        <v>20</v>
      </c>
      <c r="E81" s="16" t="s">
        <v>618</v>
      </c>
      <c r="F81" s="16" t="s">
        <v>619</v>
      </c>
      <c r="G81" s="15" t="s">
        <v>40</v>
      </c>
      <c r="H81" s="16" t="s">
        <v>538</v>
      </c>
      <c r="I81" s="16" t="s">
        <v>620</v>
      </c>
      <c r="J81" s="16" t="s">
        <v>621</v>
      </c>
      <c r="K81" s="16" t="s">
        <v>621</v>
      </c>
      <c r="L81" s="15" t="s">
        <v>459</v>
      </c>
      <c r="M81" s="14" t="s">
        <v>699</v>
      </c>
      <c r="N81" s="16"/>
    </row>
    <row r="82" spans="1:14" ht="38.25">
      <c r="A82" s="15" t="s">
        <v>622</v>
      </c>
      <c r="B82" s="15" t="s">
        <v>519</v>
      </c>
      <c r="C82" s="16" t="s">
        <v>623</v>
      </c>
      <c r="D82" s="16" t="s">
        <v>74</v>
      </c>
      <c r="E82" s="16" t="s">
        <v>624</v>
      </c>
      <c r="F82" s="16" t="s">
        <v>625</v>
      </c>
      <c r="G82" s="15" t="s">
        <v>63</v>
      </c>
      <c r="H82" s="16" t="s">
        <v>626</v>
      </c>
      <c r="I82" s="16" t="s">
        <v>627</v>
      </c>
      <c r="J82" s="16" t="s">
        <v>628</v>
      </c>
      <c r="K82" s="16" t="s">
        <v>628</v>
      </c>
      <c r="L82" s="15" t="s">
        <v>459</v>
      </c>
      <c r="M82" s="14" t="s">
        <v>701</v>
      </c>
      <c r="N82" s="16"/>
    </row>
    <row r="83" spans="1:14" ht="38.25">
      <c r="A83" s="15" t="s">
        <v>629</v>
      </c>
      <c r="B83" s="15" t="s">
        <v>519</v>
      </c>
      <c r="C83" s="16" t="s">
        <v>630</v>
      </c>
      <c r="D83" s="16" t="s">
        <v>20</v>
      </c>
      <c r="E83" s="16" t="s">
        <v>631</v>
      </c>
      <c r="F83" s="16" t="s">
        <v>632</v>
      </c>
      <c r="G83" s="15" t="s">
        <v>40</v>
      </c>
      <c r="H83" s="16" t="s">
        <v>626</v>
      </c>
      <c r="I83" s="16" t="s">
        <v>633</v>
      </c>
      <c r="J83" s="16" t="s">
        <v>634</v>
      </c>
      <c r="K83" s="16" t="s">
        <v>634</v>
      </c>
      <c r="L83" s="15" t="s">
        <v>459</v>
      </c>
      <c r="M83" s="14" t="s">
        <v>702</v>
      </c>
      <c r="N83" s="16"/>
    </row>
    <row r="84" spans="1:14" ht="63.7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 ref="M81" r:id="rId42" xr:uid="{4F0D6029-50CA-4EA8-9A2E-5D59655AC6CC}"/>
    <hyperlink ref="M82" r:id="rId43" xr:uid="{2998EBF0-1967-478C-A832-9D66F9002F79}"/>
    <hyperlink ref="M83" r:id="rId44" xr:uid="{88C78727-BDF9-465E-8E8D-9C54560322DF}"/>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I2" sqref="I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4" t="s">
        <v>693</v>
      </c>
      <c r="B2" s="24" t="s">
        <v>608</v>
      </c>
      <c r="C2" s="24" t="s">
        <v>694</v>
      </c>
      <c r="D2" s="26" t="s">
        <v>696</v>
      </c>
      <c r="E2" s="27" t="s">
        <v>695</v>
      </c>
      <c r="F2" s="25" t="s">
        <v>697</v>
      </c>
      <c r="G2" t="s">
        <v>433</v>
      </c>
      <c r="H2" s="1"/>
      <c r="I2" s="1" t="s">
        <v>698</v>
      </c>
      <c r="J2" s="1"/>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15</v>
      </c>
      <c r="F17" s="6">
        <f>COUNTIFS('Test Case'!$D:$D,$A17,'Test Case'!$L:$L,"FAIL")</f>
        <v>0</v>
      </c>
    </row>
    <row r="18" spans="1:10">
      <c r="A18" s="7" t="s">
        <v>74</v>
      </c>
      <c r="B18" s="1"/>
      <c r="C18" s="1"/>
      <c r="D18" s="6">
        <f>COUNTIF('Test Case'!$D:$D,$A18)</f>
        <v>16</v>
      </c>
      <c r="E18" s="6">
        <f>COUNTIFS('Test Case'!$D:$D,$A18,'Test Case'!$L:$L,"PASS")</f>
        <v>13</v>
      </c>
      <c r="F18" s="6">
        <f>COUNTIFS('Test Case'!$D:$D,$A18,'Test Case'!$L:$L,"FAIL")</f>
        <v>0</v>
      </c>
    </row>
    <row r="19" spans="1:10">
      <c r="A19" s="7" t="s">
        <v>20</v>
      </c>
      <c r="B19" s="1"/>
      <c r="C19" s="1"/>
      <c r="D19" s="6">
        <f>COUNTIF('Test Case'!$D:$D,$A19)</f>
        <v>24</v>
      </c>
      <c r="E19" s="6">
        <f>COUNTIFS('Test Case'!$D:$D,$A19,'Test Case'!$L:$L,"PASS")</f>
        <v>16</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8" t="str">
        <f>"Đã chạy "&amp;E12&amp;" / "&amp;D12&amp;" TC; PASS "&amp;F12&amp;"; FAIL "&amp;G12&amp;"; tỉ lệ pass "&amp;IF(E12=0,"-",TEXT(F12/E12,"0.0%"))</f>
        <v>Đã chạy 38 / 64 TC; PASS 38; FAIL 0; tỉ lệ pass 100.0%</v>
      </c>
      <c r="C31" s="28"/>
      <c r="D31" s="28"/>
      <c r="E31" s="28"/>
      <c r="F31" s="28"/>
      <c r="G31" s="28"/>
      <c r="H31" s="28"/>
      <c r="I31" s="28"/>
      <c r="J31" s="28"/>
    </row>
    <row r="32" spans="1:10" ht="48" customHeight="1">
      <c r="A32" s="3" t="s">
        <v>454</v>
      </c>
      <c r="B32" s="29"/>
      <c r="C32" s="29"/>
      <c r="D32" s="29"/>
      <c r="E32" s="29"/>
      <c r="F32" s="29"/>
      <c r="G32" s="29"/>
      <c r="H32" s="29"/>
      <c r="I32" s="29"/>
      <c r="J32" s="29"/>
    </row>
    <row r="33" spans="1:10" ht="48" customHeight="1">
      <c r="A33" s="3" t="s">
        <v>455</v>
      </c>
      <c r="B33" s="29"/>
      <c r="C33" s="29"/>
      <c r="D33" s="29"/>
      <c r="E33" s="29"/>
      <c r="F33" s="29"/>
      <c r="G33" s="29"/>
      <c r="H33" s="29"/>
      <c r="I33" s="29"/>
      <c r="J33" s="29"/>
    </row>
    <row r="34" spans="1:10" ht="48" customHeight="1">
      <c r="A34" s="3" t="s">
        <v>456</v>
      </c>
      <c r="B34" s="29"/>
      <c r="C34" s="29"/>
      <c r="D34" s="29"/>
      <c r="E34" s="29"/>
      <c r="F34" s="29"/>
      <c r="G34" s="29"/>
      <c r="H34" s="29"/>
      <c r="I34" s="29"/>
      <c r="J34" s="29"/>
    </row>
    <row r="35" spans="1:10" ht="48" customHeight="1">
      <c r="A35" s="3" t="s">
        <v>457</v>
      </c>
      <c r="B35" s="29"/>
      <c r="C35" s="29"/>
      <c r="D35" s="29"/>
      <c r="E35" s="29"/>
      <c r="F35" s="29"/>
      <c r="G35" s="29"/>
      <c r="H35" s="29"/>
      <c r="I35" s="29"/>
      <c r="J35" s="29"/>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2026-10-14T12:22:20Z</dcterms:modified>
  <dc:language>en-US</dc:language>
</cp:coreProperties>
</file>