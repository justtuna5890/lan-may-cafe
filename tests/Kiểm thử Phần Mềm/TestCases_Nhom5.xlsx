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518F2332-A5C1-437F-826A-9022B3EA2E5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E11" i="6" l="1"/>
  <c r="F26" i="6"/>
  <c r="F25" i="6"/>
  <c r="E7" i="6"/>
  <c r="J12" i="6"/>
  <c r="E10" i="6"/>
  <c r="E5" i="6"/>
  <c r="E6" i="6"/>
  <c r="G12" i="6"/>
  <c r="F12" i="6"/>
  <c r="H9" i="6"/>
  <c r="I9" i="6"/>
  <c r="I4" i="6"/>
  <c r="H8" i="6"/>
  <c r="I8" i="6"/>
  <c r="D12" i="6"/>
  <c r="H4" i="6"/>
  <c r="I11" i="6" l="1"/>
  <c r="H11" i="6"/>
  <c r="H7" i="6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<sst xmlns="http://schemas.openxmlformats.org/spreadsheetml/2006/main" count="882" uniqueCount="512">
  <si>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</si>
  <si>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</si>
  <si>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</si>
  <si>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</si>
  <si>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</si>
  <si>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</si>
  <si>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</si>
  <si>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</si>
  <si>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</si>
  <si>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</si>
  <si>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</si>
  <si>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</si>
  <si>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</si>
  <si>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</si>
  <si>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</si>
  <si>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</si>
  <si>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</si>
  <si>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</si>
  <si>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</si>
  <si>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</si>
  <si>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</si>
  <si>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</si>
  <si>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</si>
  <si>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</si>
  <si>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</si>
  <si>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</si>
  <si>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</si>
  <si>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</si>
  <si>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</si>
  <si>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</si>
  <si>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</si>
  <si>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</si>
  <si>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</si>
  <si>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</si>
  <si>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</si>
  <si>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</si>
  <si>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</si>
  <si>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</si>
  <si>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</si>
  <si>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</si>
  <si>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</si>
  <si>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</si>
  <si>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</si>
  <si>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</si>
  <si>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</si>
  <si>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</si>
  <si>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</si>
  <si>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</si>
  <si>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</si>
  <si>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</si>
  <si>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</si>
  <si>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</si>
  <si>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</si>
  <si>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</si>
  <si>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</si>
  <si>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</si>
  <si>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</si>
  <si>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</si>
  <si>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</si>
  <si>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</si>
  <si>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</si>
  <si>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</si>
  <si>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</si>
  <si>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</si>
  <si>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</si>
  <si>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</si>
  <si>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</si>
  <si>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</si>
  <si>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</si>
  <si>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</si>
  <si>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</si>
  <si>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</si>
  <si>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</si>
  <si>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</si>
  <si>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</si>
  <si>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</si>
  <si>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</si>
  <si>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</si>
  <si>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</si>
  <si>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</si>
  <si>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</si>
  <si>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</si>
  <si>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</si>
  <si>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</si>
  <si>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</si>
  <si>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</si>
  <si>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</si>
  <si>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</si>
  <si>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</si>
  <si>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</si>
  <si>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</si>
  <si>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</si>
  <si>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</si>
  <si>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</si>
  <si>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</si>
  <si>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</si>
  <si>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</si>
  <si>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</si>
  <si>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</si>
  <si>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</si>
  <si>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</si>
  <si>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</si>
  <si>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</si>
  <si>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</si>
  <si>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</si>
  <si>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</si>
  <si>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</si>
  <si>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</si>
  <si>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</si>
  <si>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</si>
  <si>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</si>
  <si>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</si>
  <si>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</si>
  <si>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</si>
  <si>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</si>
  <si>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</si>
  <si>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</si>
  <si>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</si>
  <si>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</si>
  <si>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</si>
  <si>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</si>
  <si>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</si>
  <si>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</si>
  <si>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</si>
  <si>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</si>
  <si>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</si>
  <si>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</si>
  <si>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</si>
  <si>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</si>
  <si>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</si>
  <si>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</si>
  <si>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</si>
  <si>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</si>
  <si>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</si>
  <si>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</si>
  <si>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</si>
  <si>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</si>
  <si>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</si>
  <si>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</si>
  <si>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</si>
  <si>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</si>
  <si>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</si>
  <si>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</si>
  <si>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</si>
  <si>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</si>
  <si>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</si>
  <si>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</si>
  <si>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</si>
  <si>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</si>
  <si>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</si>
  <si>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</si>
  <si>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</si>
  <si>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</si>
  <si>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</si>
  <si>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</si>
  <si>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</si>
  <si>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</si>
  <si>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</si>
  <si>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</si>
  <si>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</si>
  <si>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</si>
  <si>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</si>
  <si>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</si>
  <si>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</si>
  <si>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</si>
  <si>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</si>
  <si>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</si>
  <si>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</si>
  <si>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</si>
  <si>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</si>
  <si>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</si>
  <si>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</si>
  <si>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</si>
  <si>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</si>
  <si>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</si>
  <si>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</si>
  <si>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</si>
  <si>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</si>
  <si>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</si>
  <si>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</si>
  <si>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</si>
  <si>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</si>
  <si>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</si>
  <si>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</si>
  <si>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</si>
  <si>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</si>
  <si>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</si>
  <si>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</si>
  <si>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</si>
  <si>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</si>
  <si>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</si>
  <si>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</si>
  <si>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</si>
  <si>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</si>
  <si>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</si>
  <si>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</si>
  <si>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</si>
  <si>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</si>
  <si>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</si>
  <si>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</si>
  <si>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</si>
  <si>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</si>
  <si>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</si>
  <si>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</si>
  <si>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</si>
  <si>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</si>
  <si>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</si>
  <si>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</si>
  <si>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</si>
  <si>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</si>
  <si>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</si>
  <si>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</si>
  <si>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</si>
  <si>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</si>
  <si>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</si>
  <si>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</si>
  <si>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</si>
  <si>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</si>
  <si>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</si>
  <si>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</si>
  <si>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</si>
  <si>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</si>
  <si>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</si>
  <si>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</si>
  <si>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</si>
  <si>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</si>
  <si>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</si>
  <si>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</si>
  <si>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</si>
  <si>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</si>
  <si>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</si>
  <si>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</si>
  <si>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</si>
  <si>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</si>
  <si>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</si>
  <si>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</si>
  <si>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</si>
  <si>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</si>
  <si>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</si>
  <si>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</si>
  <si>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</si>
  <si>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</si>
  <si>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</si>
  <si>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</si>
  <si>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</si>
  <si>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</si>
  <si>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</si>
  <si>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</si>
  <si>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</si>
  <si>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</si>
  <si>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</si>
  <si>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</si>
  <si>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</si>
  <si>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</si>
  <si>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</si>
  <si>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</si>
  <si>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</si>
  <si>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</si>
  <si>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</si>
  <si>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</si>
  <si>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</si>
  <si>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</si>
  <si>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</si>
  <si>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</si>
  <si>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</si>
  <si>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</si>
  <si>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</si>
  <si>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</si>
  <si>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</si>
  <si>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</si>
  <si>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</si>
  <si>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</si>
  <si>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</si>
  <si>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</si>
  <si>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</si>
  <si>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</si>
  <si>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</si>
  <si>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</si>
  <si>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</si>
  <si>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</si>
  <si>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</si>
  <si>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</si>
  <si>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</si>
  <si>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</si>
  <si>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</si>
  <si>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</si>
  <si>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</si>
  <si>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</si>
  <si>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</si>
  <si>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</si>
  <si>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</si>
  <si>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</si>
  <si>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</si>
  <si>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</si>
  <si>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</si>
  <si>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</si>
  <si>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</si>
  <si>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</si>
  <si>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</si>
  <si>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</si>
  <si>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</si>
  <si>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</si>
  <si>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</si>
  <si>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</si>
  <si>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</si>
  <si>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</si>
  <si>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</si>
  <si>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</si>
  <si>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</si>
  <si>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</si>
  <si>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</si>
  <si>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</si>
  <si>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</si>
  <si>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</si>
  <si>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</si>
  <si>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</si>
  <si>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</si>
  <si>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</si>
  <si>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</si>
  <si>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</si>
  <si>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</si>
  <si>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</si>
  <si>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</si>
  <si>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</si>
  <si>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</si>
  <si>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</si>
  <si>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</si>
  <si>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</si>
  <si>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</si>
  <si>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</si>
  <si>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</si>
  <si>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</si>
  <si>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</si>
  <si>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</si>
  <si>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</si>
  <si>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</si>
  <si>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</si>
  <si>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</si>
  <si>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</si>
  <si>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</si>
  <si>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</si>
  <si>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</si>
  <si>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</si>
  <si>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</si>
  <si>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</si>
  <si>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</si>
  <si>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</si>
  <si>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</si>
  <si>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</si>
  <si>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</si>
  <si>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</si>
  <si>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</si>
  <si>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</si>
  <si>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</si>
  <si>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</si>
  <si>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</si>
  <si>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</si>
  <si>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</si>
  <si>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</si>
  <si>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</si>
  <si>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</si>
  <si>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</si>
  <si>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</si>
  <si>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</si>
  <si>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</si>
  <si>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</si>
  <si>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</si>
  <si>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</si>
  <si>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</si>
  <si>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</si>
  <si>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</si>
  <si>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</si>
  <si>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</si>
  <si>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</si>
  <si>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</si>
  <si>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</si>
  <si>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</si>
  <si>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</si>
  <si>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</si>
  <si>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</si>
  <si>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</si>
  <si>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</si>
  <si>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</si>
  <si>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</si>
  <si>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</si>
  <si>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</si>
  <si>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</si>
  <si>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</si>
  <si>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</si>
  <si>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</si>
  <si>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</si>
  <si>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</si>
  <si>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</si>
  <si>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</si>
  <si>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</si>
  <si>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</si>
  <si>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</si>
  <si>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</si>
  <si>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</si>
  <si>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</si>
  <si>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</si>
  <si>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</si>
  <si>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</si>
  <si>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</si>
  <si>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</si>
  <si>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</si>
  <si>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</si>
  <si>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</si>
  <si>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</si>
  <si>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</si>
  <si>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</si>
  <si>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</si>
  <si>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</si>
  <si>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</si>
  <si>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</si>
  <si>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</si>
  <si>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</si>
  <si>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</si>
  <si>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</si>
  <si>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</si>
  <si>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</si>
  <si>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</si>
  <si>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</si>
  <si>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</si>
  <si>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</si>
  <si>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</si>
  <si>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</si>
  <si>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</si>
  <si>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</si>
  <si>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</si>
  <si>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</si>
  <si>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</si>
  <si>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</si>
  <si>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</si>
  <si>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</si>
  <si>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</si>
  <si>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</si>
  <si>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</si>
  <si>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</si>
  <si>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</si>
  <si>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</si>
  <si>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</si>
  <si>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</si>
  <si>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</si>
  <si>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</si>
  <si>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</si>
  <si>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</si>
  <si>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</si>
  <si>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</si>
  <si>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</si>
  <si>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</si>
  <si>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</si>
  <si>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</si>
  <si>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</si>
  <si>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</si>
  <si>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</si>
  <si>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</si>
  <si>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</si>
  <si>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</si>
  <si>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</si>
  <si>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</si>
  <si>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</si>
  <si>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</si>
  <si>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</si>
  <si>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</si>
  <si>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</si>
  <si>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</si>
  <si>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</si>
  <si>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</si>
  <si>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</si>
  <si>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</si>
  <si>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</si>
  <si>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</si>
  <si>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</si>
  <si>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</si>
  <si>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</si>
  <si>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</si>
  <si>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</si>
  <si>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</si>
  <si>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</si>
  <si>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</si>
  <si>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</si>
  <si>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</si>
  <si>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</si>
  <si>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</si>
  <si>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</si>
  <si>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</si>
  <si>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</si>
  <si>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</si>
  <si>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</si>
  <si>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</si>
  <si>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</si>
  <si>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</si>
  <si>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</si>
  <si>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</si>
  <si>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</si>
  <si>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</si>
  <si>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</si>
  <si>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</si>
  <si>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</si>
  <si>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</si>
  <si>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</si>
  <si>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</si>
  <si>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</si>
  <si>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</si>
  <si>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</si>
  <si>
    <t>KQ-test\TC-01-02.png</t>
  </si>
  <si>
    <t>KQ-test\TC-01-03.png</t>
  </si>
  <si>
    <t>Giao diện chỉ có cho số lượng 1 ấn dấu - số lượng không bị thay đổi</t>
  </si>
  <si>
    <t>Giao diện chỉ có cho số lượng 100 ấn dấu + số lượng không bị thay đổi</t>
  </si>
  <si>
    <t>Giao diện: món hiện xám, không chọn được. message: bạc xĩu đã hết nguyên liệu và  bàn vẫn trống</t>
  </si>
  <si>
    <t>KQ-test\TC-01-07.png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</si>
</sst>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11" Type="http://schemas.openxmlformats.org/officeDocument/2006/relationships/hyperlink" Target="KQ-test\TC-01-07.png" TargetMode="External"/><Relationship Id="rId5" Type="http://schemas.openxmlformats.org/officeDocument/2006/relationships/hyperlink" Target="KQ-test\TC-21-06.png" TargetMode="External"/><Relationship Id="rId10" Type="http://schemas.openxmlformats.org/officeDocument/2006/relationships/hyperlink" Target="KQ-test\TC-01-03.png" TargetMode="External"/><Relationship Id="rId4" Type="http://schemas.openxmlformats.org/officeDocument/2006/relationships/hyperlink" Target="KQ-test\TC-21-05.png" TargetMode="External"/><Relationship Id="rId9" Type="http://schemas.openxmlformats.org/officeDocument/2006/relationships/hyperlink" Target="KQ-test\TC-01-0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I14" activePane="bottomRight" state="frozen"/>
      <selection pane="topRight" activeCell="D1" sqref="D1"/>
      <selection pane="bottomLeft" activeCell="A3" sqref="A3"/>
      <selection pane="bottomRight" activeCell="A16" sqref="A16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503</v>
      </c>
      <c r="L8" s="6" t="s">
        <v>490</v>
      </c>
      <c r="M8" s="14" t="s">
        <v>504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490</v>
      </c>
      <c r="M9" s="14" t="s">
        <v>505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 t="s">
        <v>131</v>
      </c>
      <c r="L10" s="6" t="s">
        <v>490</v>
      </c>
      <c r="M10" s="14" t="s">
        <v>506</v>
      </c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 t="s">
        <v>136</v>
      </c>
      <c r="L11" s="6" t="s">
        <v>490</v>
      </c>
      <c r="M11" s="14" t="s">
        <v>507</v>
      </c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 t="s">
        <v>508</v>
      </c>
      <c r="L12" s="6" t="s">
        <v>490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 t="s">
        <v>508</v>
      </c>
      <c r="L13" s="6" t="s">
        <v>490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 t="s">
        <v>509</v>
      </c>
      <c r="L14" s="6" t="s">
        <v>490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 t="s">
        <v>510</v>
      </c>
      <c r="L15" s="6" t="s">
        <v>490</v>
      </c>
      <c r="M15" s="14" t="s">
        <v>511</v>
      </c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/>
      <c r="L16" s="6" t="s">
        <v>44</v>
      </c>
      <c r="M16" s="1"/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  <hyperlink ref="M10" r:id="rId9" xr:uid="{23368E01-5C93-453F-9C9A-97753332BDA4}"/>
    <hyperlink ref="M11" r:id="rId10" xr:uid="{052C7473-5CF6-451A-BECC-1E425E96FDD2}"/>
    <hyperlink ref="M15" r:id="rId11" xr:uid="{0DC140F7-DC54-47D0-8FE4-B05287842DF7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7</v>
      </c>
      <c r="F5" s="6">
        <f>COUNTIFS('Test Case'!$B:$B,$A5,'Test Case'!$L:$L,"PASS")</f>
        <v>7</v>
      </c>
      <c r="G5" s="6">
        <f>COUNTIFS('Test Case'!$B:$B,$A5,'Test Case'!$L:$L,"FAIL")</f>
        <v>0</v>
      </c>
      <c r="H5" s="6">
        <f t="shared" si="1"/>
        <v>4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14</v>
      </c>
      <c r="F12" s="10">
        <f>SUM(F4:F11)</f>
        <v>14</v>
      </c>
      <c r="G12" s="10">
        <f>SUM(G4:G11)</f>
        <v>0</v>
      </c>
      <c r="H12" s="10">
        <f>SUM(H4:H11)</f>
        <v>54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3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4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5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2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14 / 68 TC; PASS 14;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2026-10-11T06:26:13Z</dcterms:modified>
  <dc:language>en-US</dc:language>
</cp:coreProperties>
</file>