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Study\Nam3\CNPM\project\lan-may-cafe\tests\Kiểm thử Phần Mềm\"/>
    </mc:Choice>
  </mc:AlternateContent>
  <xr:revisionPtr revIDLastSave="0" documentId="13_ncr:1_{E16B451B-556A-4310-9182-CDEB3E4ADA36}" xr6:coauthVersionLast="47" xr6:coauthVersionMax="47" xr10:uidLastSave="{00000000-0000-0000-0000-000000000000}"/>
  <bookViews>
    <workbookView xWindow="-120" yWindow="-120" windowWidth="20730" windowHeight="11040" tabRatio="500" activeTab="3" xr2:uid="{00000000-000D-0000-FFFF-FFFF00000000}"/>
  </bookViews>
  <sheets>
    <sheet name="Test Plan" sheetId="1" r:id="rId1"/>
    <sheet name="Dữ liệu test" sheetId="2" r:id="rId2"/>
    <sheet name="SQL hỗ trợ" sheetId="3" r:id="rId3"/>
    <sheet name="Test Case" sheetId="4" r:id="rId4"/>
    <sheet name="Bug Report" sheetId="5" r:id="rId5"/>
    <sheet name="Tổng hợp" sheetId="6" r:id="rId6"/>
    <sheet name="Cần xác nhận" sheetId="7" r:id="rId7"/>
  </sheets>
  <definedNames>
    <definedName name="_xlnm._FilterDatabase" localSheetId="3" hidden="1">'Test Case'!$A$1:$N$69</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29" i="6" l="1"/>
  <c r="D29" i="6"/>
  <c r="F29" i="6" s="1"/>
  <c r="E28" i="6"/>
  <c r="D28" i="6"/>
  <c r="F28" i="6" s="1"/>
  <c r="E27" i="6"/>
  <c r="D27" i="6"/>
  <c r="F27" i="6" s="1"/>
  <c r="E26" i="6"/>
  <c r="F26" i="6" s="1"/>
  <c r="D26" i="6"/>
  <c r="F21" i="6"/>
  <c r="E21" i="6"/>
  <c r="D21" i="6"/>
  <c r="F20" i="6"/>
  <c r="E20" i="6"/>
  <c r="D20" i="6"/>
  <c r="F19" i="6"/>
  <c r="E19" i="6"/>
  <c r="D19" i="6"/>
  <c r="F18" i="6"/>
  <c r="E18" i="6"/>
  <c r="D18" i="6"/>
  <c r="F17" i="6"/>
  <c r="E17" i="6"/>
  <c r="D17" i="6"/>
  <c r="J12" i="6"/>
  <c r="G12" i="6"/>
  <c r="F12" i="6"/>
  <c r="E12" i="6" s="1"/>
  <c r="D12" i="6"/>
  <c r="J11" i="6"/>
  <c r="G11" i="6"/>
  <c r="F11" i="6"/>
  <c r="D11" i="6"/>
  <c r="J10" i="6"/>
  <c r="G10" i="6"/>
  <c r="F10" i="6"/>
  <c r="E10" i="6" s="1"/>
  <c r="D10" i="6"/>
  <c r="J9" i="6"/>
  <c r="G9" i="6"/>
  <c r="F9" i="6"/>
  <c r="E9" i="6" s="1"/>
  <c r="D9" i="6"/>
  <c r="J8" i="6"/>
  <c r="G8" i="6"/>
  <c r="F8" i="6"/>
  <c r="E8" i="6" s="1"/>
  <c r="D8" i="6"/>
  <c r="J7" i="6"/>
  <c r="G7" i="6"/>
  <c r="F7" i="6"/>
  <c r="D7" i="6"/>
  <c r="J6" i="6"/>
  <c r="G6" i="6"/>
  <c r="F6" i="6"/>
  <c r="D6" i="6"/>
  <c r="J5" i="6"/>
  <c r="J13" i="6" s="1"/>
  <c r="G5" i="6"/>
  <c r="F5" i="6"/>
  <c r="E5" i="6" s="1"/>
  <c r="D5" i="6"/>
  <c r="G20" i="1"/>
  <c r="G19" i="1"/>
  <c r="G18" i="1"/>
  <c r="G17" i="1"/>
  <c r="G16" i="1"/>
  <c r="G15" i="1"/>
  <c r="G14" i="1"/>
  <c r="G13" i="1"/>
  <c r="E11" i="6" l="1"/>
  <c r="E6" i="6"/>
  <c r="E7" i="6"/>
  <c r="G13" i="6"/>
  <c r="F13" i="6"/>
  <c r="I12" i="6"/>
  <c r="H12" i="6"/>
  <c r="H10" i="6"/>
  <c r="I10" i="6"/>
  <c r="H8" i="6"/>
  <c r="I8" i="6"/>
  <c r="I5" i="6"/>
  <c r="H9" i="6"/>
  <c r="I9" i="6"/>
  <c r="D13" i="6"/>
  <c r="H5" i="6"/>
  <c r="H11" i="6" l="1"/>
  <c r="I11" i="6"/>
  <c r="H6" i="6"/>
  <c r="I6" i="6"/>
  <c r="E13" i="6"/>
  <c r="H7" i="6"/>
  <c r="I7" i="6"/>
  <c r="I13" i="6" l="1"/>
  <c r="B32" i="6"/>
  <c r="H13" i="6"/>
</calcChain>
</file>

<file path=xl/sharedStrings.xml><?xml version="1.0" encoding="utf-8"?>
<sst xmlns="http://schemas.openxmlformats.org/spreadsheetml/2006/main" count="1244" uniqueCount="776">
  <si>
    <t>TEST PLAN – Hệ thống quản lý quán cà phê Làn Mây (Nhóm 5)</t>
  </si>
  <si>
    <t>Ô nền vàng nhạt = ô cần điền thêm sau (môi trường test, kết quả). Các ô còn lại đã điền sẵn.</t>
  </si>
  <si>
    <t>1. Thông tin chung</t>
  </si>
  <si>
    <t>Dự án</t>
  </si>
  <si>
    <t>Lan May Cafe – Nhóm 5 (CNPM cuối kỳ), kiến trúc 3 tầng, Node.js + Express + MySQL 8</t>
  </si>
  <si>
    <t>Người lập</t>
  </si>
  <si>
    <t>Hoàng Anh Kiệt (24110264) – Trưởng kiểm thử</t>
  </si>
  <si>
    <t>Ngày lập / phiên bản</t>
  </si>
  <si>
    <t>Bản 0.2 (11/10/2026): dữ liệu test đã điền theo seed.sql, đã gộp test case của Duy (68 TC / 8 UC)</t>
  </si>
  <si>
    <t>Căn cứ</t>
  </si>
  <si>
    <t>Đề bài C6-D2; Bảng phân công cuối kỳ – Nhóm 5; docs/api-contract.md; schema.sql và seed.sql (nhánh develop); báo cáo cuối kỳ của nhóm. UC Spec, Sequence Diagram và Class Diagram chưa có trong tay, xem mục X12 ở sheet "Cần xác nhận".</t>
  </si>
  <si>
    <t>Mục tiêu</t>
  </si>
  <si>
    <t>Xây dựng bộ test case cho 8 UC đã cài đặt, thực hiện kiểm thử, ghi nhận Pass/Fail và viết bug report cho các test case FAIL (C6-D2).</t>
  </si>
  <si>
    <t>2. Phạm vi: 8 UC và phân công test (cross-testing: người viết code không tự test)</t>
  </si>
  <si>
    <t>UC</t>
  </si>
  <si>
    <t>Tên UC</t>
  </si>
  <si>
    <t>Actor</t>
  </si>
  <si>
    <t>Backend</t>
  </si>
  <si>
    <t>Frontend</t>
  </si>
  <si>
    <t>Viết + chạy test</t>
  </si>
  <si>
    <t>Số TC</t>
  </si>
  <si>
    <t>UC21</t>
  </si>
  <si>
    <t>Đăng nhập hệ thống</t>
  </si>
  <si>
    <t>Tất cả</t>
  </si>
  <si>
    <t>Hậu</t>
  </si>
  <si>
    <t>Kiệt</t>
  </si>
  <si>
    <t>UC01</t>
  </si>
  <si>
    <t>Tạo và gửi order</t>
  </si>
  <si>
    <t>Phục vụ</t>
  </si>
  <si>
    <t>Tuấn</t>
  </si>
  <si>
    <t>UC04</t>
  </si>
  <si>
    <t>Cập nhật order (gọi thêm, sửa, hủy món)</t>
  </si>
  <si>
    <t>UC10</t>
  </si>
  <si>
    <t>Thanh toán hóa đơn (UC10.1 tiền mặt, UC10.2 QR giả lập)</t>
  </si>
  <si>
    <t>Thu ngân</t>
  </si>
  <si>
    <t>UC15</t>
  </si>
  <si>
    <t>Hiển thị danh sách đơn hàng (KDS)</t>
  </si>
  <si>
    <t>Bếp</t>
  </si>
  <si>
    <t>Xuân An</t>
  </si>
  <si>
    <t>Duy</t>
  </si>
  <si>
    <t>UC16</t>
  </si>
  <si>
    <t>Cập nhật trạng thái chế biến</t>
  </si>
  <si>
    <t>UC18</t>
  </si>
  <si>
    <t>Đánh dấu hết nguyên liệu</t>
  </si>
  <si>
    <t>UC08</t>
  </si>
  <si>
    <t>Lập hóa đơn</t>
  </si>
  <si>
    <t>3. Môi trường test (điền khi chạy test)</t>
  </si>
  <si>
    <t>Phiên bản ứng dụng</t>
  </si>
  <si>
    <t xml:space="preserve">Nhánh develop hoặc tag đang test – ghi tag và commit hash (git rev-parse --short HEAD): </t>
  </si>
  <si>
    <t>Phiên bản CSDL / seed</t>
  </si>
  <si>
    <t xml:space="preserve">docs/db/schema.sql + docs/db/seed.sql (MySQL 8, database lan_may_cafe) – ghi commit hash của 2 file: </t>
  </si>
  <si>
    <t>Tài khoản test</t>
  </si>
  <si>
    <t>phucvu01 (PHUC_VU), barista01 (BARISTA), thungan01 (THU_NGAN), chutquan01 (CHU_QUAN), blocked01 (PHUC_VU, BI_KHOA); mật khẩu 123456. Tài khoản vohieu01 (VO_HIEU) tạo bằng SQL, xem sheet "SQL hỗ trợ".</t>
  </si>
  <si>
    <t>Nền tảng</t>
  </si>
  <si>
    <t>Node.js &gt;= 18; MySQL 8; server chạy tại http://localhost:3000 (API: http://localhost:3000/api)</t>
  </si>
  <si>
    <t>Công cụ</t>
  </si>
  <si>
    <t xml:space="preserve">Postman (gọi API), MySQL Workbench (kiểm tra dữ liệu), trình duyệt: ghi tên và phiên bản: </t>
  </si>
  <si>
    <t>Người chạy / ngày chạy</t>
  </si>
  <si>
    <t xml:space="preserve">Kiệt (UC21, UC01, UC04, UC10); Duy (UC15, UC16, UC18, UC08) – ghi ngày chạy: </t>
  </si>
  <si>
    <t>4. Số test case tối thiểu cho mỗi UC (theo C6-D2)</t>
  </si>
  <si>
    <t>Loại test case</t>
  </si>
  <si>
    <t>Số lượng tối thiểu / UC</t>
  </si>
  <si>
    <t>Kỹ thuật áp dụng</t>
  </si>
  <si>
    <t>Happy path (main flow)</t>
  </si>
  <si>
    <t>1</t>
  </si>
  <si>
    <t>Functional test cơ bản</t>
  </si>
  <si>
    <t>Negative, invalid input</t>
  </si>
  <si>
    <t>2</t>
  </si>
  <si>
    <t>Equivalence Partitioning (invalid class)</t>
  </si>
  <si>
    <t>Boundary value</t>
  </si>
  <si>
    <t>Boundary Value Analysis</t>
  </si>
  <si>
    <t>Alternative flow</t>
  </si>
  <si>
    <t>1 / alternative flow trong UC Spec</t>
  </si>
  <si>
    <t>Black-box theo UC Specification</t>
  </si>
  <si>
    <t>Loại bổ sung</t>
  </si>
  <si>
    <t>Không bắt buộc</t>
  </si>
  <si>
    <t>"Phi chức năng": kiểm tra ngoài luồng UC (ví dụ giao diện chống bấm 2 lần)</t>
  </si>
  <si>
    <t>5. Quy trình thực hiện (theo C6-D2)</t>
  </si>
  <si>
    <t>Bước 1 – Chuẩn bị dữ liệu</t>
  </si>
  <si>
    <t>Reset CSDL = chạy schema.sql (tự DROP và tạo lại database) rồi chạy seed.sql, đúng thứ tự này. Không chạy seed.sql hai lần liên tiếp vì sẽ lỗi Duplicate entry. Ghi lại phiên bản ứng dụng và CSDL ở mục 3. Dữ liệu test cụ thể xem sheet "Dữ liệu test".</t>
  </si>
  <si>
    <t>Bước 2 – Chạy từng TC</t>
  </si>
  <si>
    <t>Làm đúng từng bước, không bỏ bước. Ghi Actual Result đúng như quan sát được, không ghi điều bạn nghĩ sẽ xảy ra. Khớp Expected hoàn toàn: PASS; khác ở bất kỳ điểm nào: FAIL. Chụp ảnh bằng chứng, ghi tên file vào cột "Ảnh bằng chứng".</t>
  </si>
  <si>
    <t>Bước 3 – Bug report</t>
  </si>
  <si>
    <t>Mỗi TC FAIL viết 1 bug ở sheet "Bug Report" với đủ 7 trường C6-D2; gửi Tuấn, An, Hậu trong ngày 08/10.</t>
  </si>
  <si>
    <t>Lưu ý khi chạy</t>
  </si>
  <si>
    <t>TC thanh toán (UC10), sửa/hủy món (UC04) làm thay đổi dữ liệu: nạp lại schema.sql + seed.sql trước mỗi nhóm TC (và trước TC đã ghi chú). TC-21-07 khóa tài khoản phucvu01 nên nạp lại DB sau đó. Nếu thiếu thời gian, chạy các TC ưu tiên "Cao" trước.</t>
  </si>
  <si>
    <t>6. Quy ước</t>
  </si>
  <si>
    <t>Mã test case / bug</t>
  </si>
  <si>
    <t>TC-[số UC]-[số thứ tự], ví dụ TC-01-03. Bug: BUG-N5-[số], ví dụ BUG-N5-001. Số UC theo UC diagram cuối (UC01–UC25).</t>
  </si>
  <si>
    <t>Ưu tiên chạy</t>
  </si>
  <si>
    <t>Cao: luồng chính, biên, alternative flow quan trọng. Trung: negative/alternative còn lại. Thấp: ít ảnh hưởng nghiệp vụ.</t>
  </si>
  <si>
    <t>Mức độ nghiêm trọng bug</t>
  </si>
  <si>
    <t>Critical: sai tiền, thu trùng, mất hoặc hỏng dữ liệu. High: ảnh hưởng trực tiếp nghiệp vụ hoặc thiếu xử lý alternative flow (ví dụ gọi được món đã hết). Medium: sai thông báo hoặc mã lỗi nhưng nghiệp vụ vẫn đúng. Low: lỗi giao diện, chính tả.</t>
  </si>
  <si>
    <t>Hạn sửa bug</t>
  </si>
  <si>
    <t>Critical và High: dev sửa trong ngày nhận (Tuấn T8, An A8, Hậu H5). Medium/Low chưa kịp sửa thì chuyển Duy đưa vào mục "Hướng phát triển".</t>
  </si>
  <si>
    <t>7. Mốc thời gian</t>
  </si>
  <si>
    <t>12:00 04/10</t>
  </si>
  <si>
    <t>Gửi mẫu biểu cho Duy (K1)</t>
  </si>
  <si>
    <t>21:00 06/10</t>
  </si>
  <si>
    <t>Gửi Tuấn duyệt test case (K2)</t>
  </si>
  <si>
    <t>21:00 07/10</t>
  </si>
  <si>
    <t>Code freeze, nhận v1.0-rc, bắt đầu chạy test</t>
  </si>
  <si>
    <t>08/10</t>
  </si>
  <si>
    <t>Chạy test, gửi bug report (K3)</t>
  </si>
  <si>
    <t>21:00 09/10</t>
  </si>
  <si>
    <t>Retest, gửi báo cáo kết quả test cho Sơn (K4)</t>
  </si>
  <si>
    <t>14:00 10/10</t>
  </si>
  <si>
    <t>Duyệt bản ghép báo cáo 4 trang (K5)</t>
  </si>
  <si>
    <t>Dữ liệu test lấy từ seed.sql (nhánh develop). Các test case đã ghi sẵn giá trị cụ thể; sheet này để tra cứu nhanh.</t>
  </si>
  <si>
    <t>Ký hiệu cũ</t>
  </si>
  <si>
    <t>Ý nghĩa</t>
  </si>
  <si>
    <t>Giá trị (seed.sql)</t>
  </si>
  <si>
    <t>Ghi chú</t>
  </si>
  <si>
    <t>TK_PV / MK_PV</t>
  </si>
  <si>
    <t>Tài khoản Phục vụ đang hoạt động</t>
  </si>
  <si>
    <t>phucvu01 / 123456 (nv-001)</t>
  </si>
  <si>
    <t>Seed ghi mật khẩu 123456 là "dự kiến"; báo cáo nhóm cũng ghi 123456</t>
  </si>
  <si>
    <t>TK_BARISTA</t>
  </si>
  <si>
    <t>Tài khoản Barista</t>
  </si>
  <si>
    <t>barista01 / 123456 (nv-002)</t>
  </si>
  <si>
    <t>TK_THU_NGAN</t>
  </si>
  <si>
    <t>Tài khoản Thu ngân</t>
  </si>
  <si>
    <t>thungan01 / 123456 (nv-003)</t>
  </si>
  <si>
    <t>TK_CHU_QUAN</t>
  </si>
  <si>
    <t>Tài khoản Chủ quán</t>
  </si>
  <si>
    <t>chutquan01 / 123456 (nv-004)</t>
  </si>
  <si>
    <t>Tên đăng nhập có 2 chữ t (chutquan01), gõ đúng khi đăng nhập</t>
  </si>
  <si>
    <t>TK_KHOA</t>
  </si>
  <si>
    <t>Tài khoản đã bị khóa sẵn</t>
  </si>
  <si>
    <t>blocked01 / 123456 (nv-005)</t>
  </si>
  <si>
    <t>trang_thai = BI_KHOA, so_lan_sai = 5</t>
  </si>
  <si>
    <t>TK_VO_HIEU</t>
  </si>
  <si>
    <t>Tài khoản vô hiệu hóa</t>
  </si>
  <si>
    <t>vohieu01 / 123456 (nv-006)</t>
  </si>
  <si>
    <t>Seed KHÔNG có: tạo bằng SQL ở sheet "SQL hỗ trợ" (X04)</t>
  </si>
  <si>
    <t>BAN_TRONG</t>
  </si>
  <si>
    <t>Bàn TRONG, chưa có đơn</t>
  </si>
  <si>
    <t>ban-01 (B01); cũng có ban-02, 09, 10, 11, 12</t>
  </si>
  <si>
    <t>BAN_CO_DON</t>
  </si>
  <si>
    <t>Bàn DANG_PHUC_VU có đơn</t>
  </si>
  <si>
    <t>ban-03 (B03) có dh-001; ban-04 (B04) có dh-002 (HOAN_THANH)</t>
  </si>
  <si>
    <t>BAN_CAN_DON</t>
  </si>
  <si>
    <t>Bàn CAN_DON</t>
  </si>
  <si>
    <t>ban-05 (B05) có dh-003 đã thanh toán; ban-06 (B06) có dh-004 chưa thanh toán</t>
  </si>
  <si>
    <t>ban-06 bất thường: bàn CAN_DON nhưng đơn vẫn DANG_PHUC_VU (X16)</t>
  </si>
  <si>
    <t>(mới)</t>
  </si>
  <si>
    <t>Bàn DAT_TRUOC (trạng thái thứ 4)</t>
  </si>
  <si>
    <t>ban-07 (B07), ban-08 (B08)</t>
  </si>
  <si>
    <t>Chưa rõ có được gọi món không (X15)</t>
  </si>
  <si>
    <t>MON_A / GIA_A</t>
  </si>
  <si>
    <t>Món CON_HANG thứ nhất</t>
  </si>
  <si>
    <t>mon-02 Cà phê sữa, 30.000</t>
  </si>
  <si>
    <t>Cà phê đen mon-01 25.000 cũng CON_HANG</t>
  </si>
  <si>
    <t>MON_B / GIA_B</t>
  </si>
  <si>
    <t>Món CON_HANG thứ hai</t>
  </si>
  <si>
    <t>mon-04 Trà đào, 40.000</t>
  </si>
  <si>
    <t>MON_TAM_HET</t>
  </si>
  <si>
    <t>Món TAM_HET</t>
  </si>
  <si>
    <t>mon-03 Bạc xỉu, 35.000</t>
  </si>
  <si>
    <t>Liên quan kho-10 (Siro bạc xỉu) tồn kho 0</t>
  </si>
  <si>
    <t>DON_CHO / TONG_CU</t>
  </si>
  <si>
    <t>Đơn dùng cho UC04</t>
  </si>
  <si>
    <t>dh-001 (ban-03), tổng 85.000</t>
  </si>
  <si>
    <t>ct-001 Cà phê sữa x2 DANG_LAM (60.000); ct-002 Cà phê đen x1 CHO_PHA_CHE (25.000)</t>
  </si>
  <si>
    <t>CT_DA_XONG</t>
  </si>
  <si>
    <t>Món DA_XONG</t>
  </si>
  <si>
    <t>ct-003, ct-004 thuộc dh-002 (ban-04, HOAN_THANH, tổng 100.000)</t>
  </si>
  <si>
    <t>Không nằm trong dh-001</t>
  </si>
  <si>
    <t>DON_SAN_SANG / TONG_TIEN</t>
  </si>
  <si>
    <t>Đơn dùng cho UC10 (chưa thanh toán)</t>
  </si>
  <si>
    <t>dh-002 (ban-04), tổng 100.000, mọi món DA_XONG</t>
  </si>
  <si>
    <t>Mỗi lần thanh toán thành công là hết dùng được: nạp lại DB trước TC kế tiếp</t>
  </si>
  <si>
    <t>DON_DA_TT</t>
  </si>
  <si>
    <t>Đơn đã thanh toán</t>
  </si>
  <si>
    <t>dh-003 (ban-05), tổng 60.000, mã GD-20261008-001</t>
  </si>
  <si>
    <t>thanh_toan tt-001, tiền mặt, khách đưa 70.000, thối 10.000</t>
  </si>
  <si>
    <t>DON_CHUA_BEP</t>
  </si>
  <si>
    <t>Đơn chưa đồng bộ bếp (isSynced=false)</t>
  </si>
  <si>
    <t>Seed không có: dùng SQL đặt dh-004 is_synced = FALSE</t>
  </si>
  <si>
    <t>Xem sheet "SQL hỗ trợ"</t>
  </si>
  <si>
    <t>(khác)</t>
  </si>
  <si>
    <t>Đơn khác trong seed</t>
  </si>
  <si>
    <t>dh-004 (ban-06) tổng 70.000: ct-007 Trà đào x1 DANG_LAM (40.000) + ct-008 Cà phê sữa x1 DA_HUY (30.000)</t>
  </si>
  <si>
    <t>tong_tien gồm cả món đã hủy (X16)</t>
  </si>
  <si>
    <t>Chạy trong MySQL Workbench (kết nối vào database lan_may_cafe). Chép từng câu, không cần sửa.</t>
  </si>
  <si>
    <t>Mục đích</t>
  </si>
  <si>
    <t>Câu lệnh / cách làm</t>
  </si>
  <si>
    <t>Dùng ở</t>
  </si>
  <si>
    <t>Reset CSDL về ban đầu</t>
  </si>
  <si>
    <t>1) File &gt; Open SQL Script &gt; schema.sql &gt; bấm biểu tượng tia sét (chạy toàn bộ). 2) Mở seed.sql &gt; chạy toàn bộ. Đúng thứ tự, không chạy seed.sql hai lần liên tiếp (lỗi Duplicate entry). schema.sql tự DROP DATABASE rồi tạo lại.</t>
  </si>
  <si>
    <t>Trước mỗi nhóm TC</t>
  </si>
  <si>
    <t>Số bản ghi sau khi nạp seed</t>
  </si>
  <si>
    <t>Kết quả đúng: nhan_vien 5, ban 12, khach_hang 4, don_hang 4, chi_tiet_don 8, thanh_toan 1, mon_an 15, kho_hang 10, cong_thuc_mon 20 (seed.sql tự chạy câu SELECT này ở cuối).</t>
  </si>
  <si>
    <t>Sau khi nạp</t>
  </si>
  <si>
    <t>Tạo tài khoản vô hiệu hóa vohieu01</t>
  </si>
  <si>
    <t>INSERT INTO nhan_vien (id, username, mat_khau, ho_ten, vai_tro, trang_thai, so_lan_sai) VALUES ('nv-006', 'vohieu01', '$2b$10$VXnS585ISxsI7DldPj5RCu85dHUWJXM5PfRYELfkpHBa9IsIGFDe6', 'Nguyễn Văn Vô Hiệu', 'PHUC_VU', 'VO_HIEU', 0);</t>
  </si>
  <si>
    <t>TC-21-09 (mật khẩu 123456, cùng hash với seed)</t>
  </si>
  <si>
    <t>Tạo đơn chưa đồng bộ bếp</t>
  </si>
  <si>
    <t>UPDATE don_hang SET is_synced = FALSE WHERE id = 'dh-004';</t>
  </si>
  <si>
    <t>TC-10-09</t>
  </si>
  <si>
    <t>Xem tài khoản</t>
  </si>
  <si>
    <t>SELECT username, vai_tro, trang_thai, so_lan_sai FROM nhan_vien;</t>
  </si>
  <si>
    <t>Xem trạng thái bàn</t>
  </si>
  <si>
    <t>SELECT id, so_ban, trang_thai FROM ban ORDER BY so_ban;</t>
  </si>
  <si>
    <t>UC01, UC10</t>
  </si>
  <si>
    <t>Xem đơn hàng</t>
  </si>
  <si>
    <t>SELECT id, ban_id, tong_tien, trang_thai, is_synced FROM don_hang ORDER BY ngay_tao;</t>
  </si>
  <si>
    <t>UC01, UC04, UC10</t>
  </si>
  <si>
    <t>Xem chi tiết một đơn</t>
  </si>
  <si>
    <t>SELECT id, mon_an_id, so_luong, don_gia, trang_thai_che_bien FROM chi_tiet_don WHERE don_hang_id = 'dh-001';</t>
  </si>
  <si>
    <t>UC01, UC04 (đổi mã đơn khi cần)</t>
  </si>
  <si>
    <t>Xem thanh toán</t>
  </si>
  <si>
    <t>SELECT id, don_hang_id, phuong_thuc, so_tien, tien_khach_dua, tien_thoi, ma_giao_dich, trang_thai FROM thanh_toan;</t>
  </si>
  <si>
    <t>Đếm bản ghi theo mã giao dịch</t>
  </si>
  <si>
    <t>SELECT COUNT(*) FROM thanh_toan WHERE ma_giao_dich = 'gd-test-0001';</t>
  </si>
  <si>
    <t>TC-10-07 (kết quả đúng: 1)</t>
  </si>
  <si>
    <t>Xem món và trạng thái</t>
  </si>
  <si>
    <t>SELECT id, ten_mon, gia, trang_thai FROM mon_an WHERE id IN ('mon-01', 'mon-02', 'mon-03', 'mon-04');</t>
  </si>
  <si>
    <t>ID</t>
  </si>
  <si>
    <t>Tiêu đề</t>
  </si>
  <si>
    <t>Loại</t>
  </si>
  <si>
    <t>Kỹ thuật</t>
  </si>
  <si>
    <t>Truy vết (UC Spec / API)</t>
  </si>
  <si>
    <t>Ưu tiên</t>
  </si>
  <si>
    <t>Pre-condition</t>
  </si>
  <si>
    <t>Dữ liệu test</t>
  </si>
  <si>
    <t>Expected result</t>
  </si>
  <si>
    <t>Actual result</t>
  </si>
  <si>
    <t>Pass/Fail</t>
  </si>
  <si>
    <t>Ảnh bằng chứng</t>
  </si>
  <si>
    <t>Ghi chú / giả định</t>
  </si>
  <si>
    <t>TC-21-01</t>
  </si>
  <si>
    <t>Đăng nhập thành công bằng tài khoản Phục vụ</t>
  </si>
  <si>
    <t>Happy path</t>
  </si>
  <si>
    <t>Functional (main flow)</t>
  </si>
  <si>
    <t>api-contract §3 UC21 (POST /auth/login); UC21 main flow</t>
  </si>
  <si>
    <t>Cao</t>
  </si>
  <si>
    <t>Đã nạp lại schema.sql rồi seed.sql; server đang chạy. phucvu01 đang hoạt động, so_lan_sai = 0.</t>
  </si>
  <si>
    <t>username = phucvu01; password = 123456</t>
  </si>
  <si>
    <t>HTTP 200, success=true. data có token, nhanVienId, hoTen, vaiTro=PHUC_VU, trangChu="/tables.html".
Giao diện chuyển sang màn Sơ đồ bàn.</t>
  </si>
  <si>
    <t>Chưa chạy</t>
  </si>
  <si>
    <t>TC-21-02</t>
  </si>
  <si>
    <t>Điều hướng đúng màn hình theo vai trò (Barista, Thu ngân, Chủ quán)</t>
  </si>
  <si>
    <t>api-contract §3 UC21 (POST /auth/login); BPC H2 (điều hướng theo vai trò)</t>
  </si>
  <si>
    <t>Đã nạp lại schema.sql rồi seed.sql; server đang chạy.</t>
  </si>
  <si>
    <t>barista01, thungan01, chutquan01 ; mật khẩu 123456</t>
  </si>
  <si>
    <t>BARISTA → Màn bếp (KDS). THU_NGAN → POS. CHU_QUAN → trang tổng quan.
vaiTro trong response khớp từng tài khoản.</t>
  </si>
  <si>
    <t>Nếu một vai trò sai thì ghi FAIL và nêu rõ vai trò nào trong Actual.</t>
  </si>
  <si>
    <t>TC-21-03</t>
  </si>
  <si>
    <t>Đăng nhập với mật khẩu sai</t>
  </si>
  <si>
    <t>Negative</t>
  </si>
  <si>
    <t>EP (invalid class: mật khẩu sai)</t>
  </si>
  <si>
    <t>api-contract §3 UC21 (POST /auth/login); mã lỗi SAI_THONG_TIN</t>
  </si>
  <si>
    <t>Đã nạp lại schema.sql rồi seed.sql; server đang chạy. phucvu01 có so_lan_sai = 0.</t>
  </si>
  <si>
    <t>username = phucvu01; password = "saimatkhau"</t>
  </si>
  <si>
    <t>HTTP 401, success=false, maLoi=SAI_THONG_TIN.
Thông báo chung, không chỉ ra sai ô nào. Ở lại trang đăng nhập, không có token.
so_lan_sai của tài khoản tăng thêm 1.</t>
  </si>
  <si>
    <t>TC-21-04</t>
  </si>
  <si>
    <t>Đăng nhập với username không tồn tại</t>
  </si>
  <si>
    <t>EP (invalid class: username không tồn tại)</t>
  </si>
  <si>
    <t>Trung</t>
  </si>
  <si>
    <t>username = "khongtontai"; password = "123456"</t>
  </si>
  <si>
    <t>HTTP 401, maLoi=SAI_THONG_TIN, thông báo giống hệt TC-21-03 (không lộ username có tồn tại hay không).</t>
  </si>
  <si>
    <t>TC-21-05</t>
  </si>
  <si>
    <t>Bỏ trống username hoặc mật khẩu</t>
  </si>
  <si>
    <t>EP (invalid class: dữ liệu rỗng)</t>
  </si>
  <si>
    <t>api-contract §3 UC21 (POST /auth/login); mã lỗi THIEU_THONG_TIN</t>
  </si>
  <si>
    <t>(a) username rỗng, password = 123456
(b) username = phucvu01, password rỗng</t>
  </si>
  <si>
    <t>Giả định: bỏ trống ô không tính vào so_lan_sai [X03].</t>
  </si>
  <si>
    <t>TC-21-06</t>
  </si>
  <si>
    <t>Sai 4 lần liên tiếp: chưa bị khóa, đăng nhập đúng vẫn vào được</t>
  </si>
  <si>
    <t>Boundary</t>
  </si>
  <si>
    <t>BVA (ngưỡng khóa = 5; giá trị 4, sát dưới ngưỡng)</t>
  </si>
  <si>
    <t>api-contract §3 UC21 (POST /auth/login); UC21 EF-1; BPC H2 (sai 5 lần thì khóa)</t>
  </si>
  <si>
    <t>4 lần password sai, sau đó 1 lần password = 123456</t>
  </si>
  <si>
    <t>4 lần đầu: HTTP 401 SAI_THONG_TIN (chưa bị khóa).
Lần đăng nhập đúng: HTTP 200, vào Sơ đồ bàn. so_lan_sai về 0.</t>
  </si>
  <si>
    <t>Giả định: đăng nhập đúng thì reset bộ đếm [X02].</t>
  </si>
  <si>
    <t>TC-21-07</t>
  </si>
  <si>
    <t>Sai 5 lần liên tiếp: tài khoản bị khóa (EF-1)</t>
  </si>
  <si>
    <t>BVA (ngưỡng khóa = 5) + luồng EF-1</t>
  </si>
  <si>
    <t>api-contract §3 UC21 (POST /auth/login); UC21 EF-1; BPC H2</t>
  </si>
  <si>
    <t>5 lần password sai, sau đó 1 lần password = 123456</t>
  </si>
  <si>
    <t>Từ lần sai thứ 5: HTTP 423, maLoi=TAI_KHOAN_BI_KHOA.
Lần thứ 6 dù mật khẩu đúng vẫn HTTP 423, không có token.
CSDL: nhan_vien.trang_thai = 'BI_KHOA', so_lan_sai ≥ 5.</t>
  </si>
  <si>
    <t>Nạp lại schema.sql + seed.sql sau TC này. Giả định lần sai thứ 5 đã trả 423 [X02].</t>
  </si>
  <si>
    <t>TC-21-08</t>
  </si>
  <si>
    <t>Đăng nhập bằng tài khoản đã bị khóa sẵn trong CSDL</t>
  </si>
  <si>
    <t>Black-box theo UC Spec (EF-1)</t>
  </si>
  <si>
    <t>api-contract §3 UC21 (POST /auth/login); UC21 EF-1</t>
  </si>
  <si>
    <t>Thấp</t>
  </si>
  <si>
    <t>Đã nạp lại schema.sql rồi seed.sql; server đang chạy. blocked01 đã bị khóa trong seed.</t>
  </si>
  <si>
    <t>username = blocked01; password đúng</t>
  </si>
  <si>
    <t>HTTP 423, maLoi=TAI_KHOAN_BI_KHOA, thông báo theo báo cáo: "Tài khoản đã bị khóa do nhập sai mật khẩu 5 lần"; không có token.</t>
  </si>
  <si>
    <t>blocked01 trong seed: trang_thai BI_KHOA, so_lan_sai = 5 [X04].</t>
  </si>
  <si>
    <t>TC-21-09</t>
  </si>
  <si>
    <t>Đăng nhập bằng tài khoản bị vô hiệu hóa (EF-2)</t>
  </si>
  <si>
    <t>Black-box theo UC Spec (EF-2)</t>
  </si>
  <si>
    <t>api-contract §3 UC21 (POST /auth/login); UC21 EF-2</t>
  </si>
  <si>
    <t>Đã nạp lại schema.sql rồi seed.sql; server đang chạy. vohieu01 có trang_thai = 'VO_HIEU' (tạo bằng SQL ở sheet "SQL hỗ trợ").</t>
  </si>
  <si>
    <t>username = vohieu01; password đúng</t>
  </si>
  <si>
    <t>HTTP 403, maLoi=TAI_KHOAN_VO_HIEU, thông báo tài khoản bị vô hiệu hóa; không có token.</t>
  </si>
  <si>
    <t>Chạy SQL tạo tài khoản vohieu01 trước TC này (sheet "SQL hỗ trợ") [X04].</t>
  </si>
  <si>
    <t>TC-21-10</t>
  </si>
  <si>
    <t>Gọi API khi chưa đăng nhập</t>
  </si>
  <si>
    <t>EP (invalid class: thiếu token)</t>
  </si>
  <si>
    <t>api-contract §1 (CHUA_DANG_NHAP); BPC H2 (middleware phân quyền)</t>
  </si>
  <si>
    <t>Chưa đăng nhập, không có token.</t>
  </si>
  <si>
    <t>GET http://localhost:3000/api/menu, không có header Authorization</t>
  </si>
  <si>
    <t>HTTP 401, success=false, maLoi=CHUA_DANG_NHAP.</t>
  </si>
  <si>
    <t>Cách gửi token do Hậu chốt [X13].</t>
  </si>
  <si>
    <t>TC-21-11</t>
  </si>
  <si>
    <t>Sai vai trò gọi API bị từ chối</t>
  </si>
  <si>
    <t>EP (invalid class: vai trò không được phép)</t>
  </si>
  <si>
    <t>api-contract §2 (POST /payments chỉ THU_NGAN), §1 (KHONG_CO_QUYEN)</t>
  </si>
  <si>
    <t>Đã đăng nhập phucvu01, có token vai trò PHUC_VU.</t>
  </si>
  <si>
    <t>POST /api/payments với header Authorization của PHUC_VU; body hợp lệ tùy ý</t>
  </si>
  <si>
    <t>HTTP 403, maLoi=KHONG_CO_QUYEN. Không có dữ liệu nào bị thay đổi.</t>
  </si>
  <si>
    <t>Chưa rõ CHU_QUAN có được gọi API gọi món/thanh toán không [X11].</t>
  </si>
  <si>
    <t>TC-01-01</t>
  </si>
  <si>
    <t>Tạo order và gửi bếp thành công</t>
  </si>
  <si>
    <t>SD Tạo order (msg 2–25); api-contract §3 UC01 (POST /orders); UC01 main flow</t>
  </si>
  <si>
    <t>Đã nạp lại schema.sql rồi seed.sql; đã đăng nhập phucvu01. ban-01 (B01) đang TRONG.</t>
  </si>
  <si>
    <t>banId = ban-01 (B01)
mon-02 (Cà phê sữa) x2, ghi chú "ít đá"
mon-04 (Trà đào) x1</t>
  </si>
  <si>
    <t>HTTP 201, success=true. data: trangThai=DANG_PHUC_VU; tongTien = 2×30.000 + 40.000 = 100.000; isSynced=true; mỗi món có chiTietId, donGia đúng, trangThaiCheBien=CHO_PHA_CHE; ghi chú "ít đá" được lưu.
Bàn chuyển DANG_PHUC_VU. CSDL có 1 don_hang và 2 chi_tiet_don tương ứng.</t>
  </si>
  <si>
    <t>TC-01-02</t>
  </si>
  <si>
    <t>Số lượng = 1 (biên dưới hợp lệ)</t>
  </si>
  <si>
    <t>BVA (biên dưới = 1)</t>
  </si>
  <si>
    <t>SD Tạo order (msg 2–25); api-contract §3 UC01 (POST /orders); BPC T3 (số lượng 1–99)</t>
  </si>
  <si>
    <t>banId = ban-01 (B01); mon-02 (Cà phê sữa) soLuong = 1</t>
  </si>
  <si>
    <t>HTTP 201; chi tiết món soLuong=1; tongTien = 30.000; bàn chuyển DANG_PHUC_VU.</t>
  </si>
  <si>
    <t>TC-01-03</t>
  </si>
  <si>
    <t>Số lượng = 99 (biên trên hợp lệ)</t>
  </si>
  <si>
    <t>BVA (biên trên = 99)</t>
  </si>
  <si>
    <t>banId = ban-01 (B01); mon-02 (Cà phê sữa) soLuong = 99</t>
  </si>
  <si>
    <t>HTTP 201; soLuong=99; tongTien = 99×30.000 = 2.970.000; bàn chuyển DANG_PHUC_VU.</t>
  </si>
  <si>
    <t>TC-01-04</t>
  </si>
  <si>
    <t>Số lượng = 0</t>
  </si>
  <si>
    <t>EP (invalid class: số lượng &lt; 1)</t>
  </si>
  <si>
    <t>SD Tạo order (msg 2–25); api-contract §3 UC01 (POST /orders); mã lỗi SO_LUONG_KHONG_HOP_LE</t>
  </si>
  <si>
    <t>banId = ban-01 (B01); mon-02 (Cà phê sữa) soLuong = 0</t>
  </si>
  <si>
    <t>Giao diện không cho gửi hoặc báo lỗi số lượng.
API: HTTP 400, maLoi=SO_LUONG_KHONG_HOP_LE. Không tạo don_hang; bàn vẫn TRONG.</t>
  </si>
  <si>
    <t>TC-01-05</t>
  </si>
  <si>
    <t>Số lượng âm (-1)</t>
  </si>
  <si>
    <t>EP (invalid class: số lượng âm)</t>
  </si>
  <si>
    <t>banId = ban-01 (B01); mon-02 (Cà phê sữa) soLuong = -1</t>
  </si>
  <si>
    <t>Giao diện không cho gửi hoặc báo lỗi.
API: HTTP 400, maLoi=SO_LUONG_KHONG_HOP_LE. Không tạo don_hang; bàn vẫn TRONG.</t>
  </si>
  <si>
    <t>TC-01-06</t>
  </si>
  <si>
    <t>Số lượng = 100 (vượt biên trên), kiểm tra ở server</t>
  </si>
  <si>
    <t>BVA (ngay trên biên 99)</t>
  </si>
  <si>
    <t>SD Tạo order (msg 2–25); api-contract §3 UC01 (POST /orders); BPC T3 (từ chối ở server, không chỉ giao diện)</t>
  </si>
  <si>
    <t>banId = ban-01 (B01); mon-02 (Cà phê sữa) soLuong = 100</t>
  </si>
  <si>
    <t>API: HTTP 400, maLoi=SO_LUONG_KHONG_HOP_LE. Không tạo don_hang; bàn vẫn TRONG.</t>
  </si>
  <si>
    <t>TC-01-07</t>
  </si>
  <si>
    <t>Gọi món đã hết nguyên liệu (TAM_HET)</t>
  </si>
  <si>
    <t>Black-box theo UC Spec (EF: món hết nguyên liệu)</t>
  </si>
  <si>
    <t>SD Tạo order (msg 2–25); api-contract §3 UC01 (POST /orders); BPC T3, H3</t>
  </si>
  <si>
    <t>Đã nạp lại schema.sql rồi seed.sql; đã đăng nhập phucvu01. ban-01 (B01) đang TRONG; mon-03 (Bạc xỉu) ở trạng thái TAM_HET.</t>
  </si>
  <si>
    <t>banId = ban-01 (B01); mon-03 (Bạc xỉu) soLuong = 1</t>
  </si>
  <si>
    <t>Giao diện: món hiện xám, không chọn được.
API: HTTP 409, maLoi=MON_TAM_HET, message dạng "Món … đã hết nguyên liệu" (có tên món). Không tạo đơn; bàn vẫn TRONG.</t>
  </si>
  <si>
    <t>Cần món TAM_HET trong seed [X05].</t>
  </si>
  <si>
    <t>TC-01-08</t>
  </si>
  <si>
    <t>Gọi món ở bàn đang CAN_DON</t>
  </si>
  <si>
    <t>Black-box theo UC Spec (EF: bàn không hợp lệ)</t>
  </si>
  <si>
    <t>Đã nạp lại schema.sql rồi seed.sql; đã đăng nhập phucvu01. ban-05 (B05) đang CAN_DON.</t>
  </si>
  <si>
    <t>banId = ban-05 (B05); mon-02 (Cà phê sữa) soLuong = 1</t>
  </si>
  <si>
    <t>Giao diện: bàn CAN_DON không bấm gọi món được.
API: HTTP 409, maLoi=BAN_CAN_DON. Không tạo đơn; trạng thái bàn giữ nguyên.</t>
  </si>
  <si>
    <t>TC-01-09</t>
  </si>
  <si>
    <t>Tạo order mới cho bàn đang có đơn</t>
  </si>
  <si>
    <t>Black-box theo UC Spec (đề xuất contract §4)</t>
  </si>
  <si>
    <t>api-contract §4 điểm 1 (BAN_DA_CO_DON)</t>
  </si>
  <si>
    <t>Đã nạp lại schema.sql rồi seed.sql; đã đăng nhập phucvu01. ban-03 (B03) đang DANG_PHUC_VU và đã có đơn dh-001.</t>
  </si>
  <si>
    <t>banId = ban-03 (B03); mon-02 (Cà phê sữa) soLuong = 1</t>
  </si>
  <si>
    <t>HTTP 409, maLoi=BAN_DA_CO_DON. Không tạo đơn thứ hai; số don_hang của bàn vẫn là 1.</t>
  </si>
  <si>
    <t>Đề xuất của Tuấn trong contract, chưa chốt [X01]. Nếu chốt khác thì sửa Expected.</t>
  </si>
  <si>
    <t>TC-01-10</t>
  </si>
  <si>
    <t>Bếp không phản hồi sau 5 giây: đơn vẫn lưu, isSynced=false</t>
  </si>
  <si>
    <t>Black-box theo UC Spec (EF: bếp không phản hồi)</t>
  </si>
  <si>
    <t>SD Tạo order (msg 2–25); api-contract §3 UC01 (POST /orders); BPC T3 (guiOrderDenKDS, danhDauChuaDongBo)</t>
  </si>
  <si>
    <t>Đã nạp lại schema.sql rồi seed.sql; đã đăng nhập phucvu01. ban-01 (B01) đang TRONG; bếp (KDS) được giả lập không phản hồi quá 5 giây.</t>
  </si>
  <si>
    <t>banId = ban-01 (B01); mon-02 (Cà phê sữa) soLuong = 1; KDS_TIMEOUT_MS = 5000</t>
  </si>
  <si>
    <t>Sau khoảng 5 giây hệ thống vẫn trả kết quả: HTTP 201, isSynced=false.
Đơn vẫn được lưu; bàn chuyển DANG_PHUC_VU. Giao diện không bị treo.</t>
  </si>
  <si>
    <t>Cách giả lập bếp [X06]; giả định HTTP 201 khi isSynced=false. Đơn tạo ra ở đây dùng làm dh-004 cho TC-10-09.</t>
  </si>
  <si>
    <t>TC-01-11</t>
  </si>
  <si>
    <t>Gửi order khi giỏ hàng rỗng</t>
  </si>
  <si>
    <t>EP (invalid class: danh sách món rỗng)</t>
  </si>
  <si>
    <t>SD Tạo order (msg 2–25); api-contract §3 UC01 (POST /orders); mã lỗi DS_MON_RONG</t>
  </si>
  <si>
    <t>banId = ban-01 (B01); dsMon = []</t>
  </si>
  <si>
    <t>HTTP 400, maLoi=DS_MON_RONG. Không tạo đơn; bàn vẫn TRONG.</t>
  </si>
  <si>
    <t>TC-04-01</t>
  </si>
  <si>
    <t>Gọi thêm món vào đơn đang phục vụ</t>
  </si>
  <si>
    <t>CD_CapNhat (themMon/suaMon/huyMon); api-contract §3 UC04 (POST /orders/:id/items)</t>
  </si>
  <si>
    <t>Đã nạp lại schema.sql rồi seed.sql; đã đăng nhập phucvu01; đơn dh-001 của ban-03 (B03) đang DANG_PHUC_VU, tổng 85.000: ct-001 (Cà phê sữa x2, DANG_LAM), ct-002 (Cà phê đen x1, CHO_PHA_CHE). Tổng tiền hiện tại = 85.000.</t>
  </si>
  <si>
    <t>mon-04 (Trà đào) x1, ghi chú "không đường"</t>
  </si>
  <si>
    <t>HTTP 200. dsMon gồm các món cũ (giữ nguyên trạng thái) và 1 món mới CHO_PHA_CHE; tongTien = 85.000 + 40.000 = 125.000.
Chỉ món mới được gửi xuống bếp (bếp không có bản sao của món cũ).</t>
  </si>
  <si>
    <t>TC-04-02</t>
  </si>
  <si>
    <t>Sửa số lượng món đang CHO_PHA_CHE</t>
  </si>
  <si>
    <t>CD_CapNhat (themMon/suaMon/huyMon); api-contract §3 UC04 (PATCH /orders/:id/items/:chiTietId)</t>
  </si>
  <si>
    <t>Đã nạp lại schema.sql rồi seed.sql; đã đăng nhập phucvu01; đơn dh-001 của ban-03 (B03) đang DANG_PHUC_VU, tổng 85.000: ct-001 (Cà phê sữa x2, DANG_LAM), ct-002 (Cà phê đen x1, CHO_PHA_CHE).</t>
  </si>
  <si>
    <t>ct-002 (Cà phê đen): số lượng 1 → 3</t>
  </si>
  <si>
    <t>HTTP 200. soLuong=3; tongTien = 85.000 + 2×25.000 = 135.000; món vẫn CHO_PHA_CHE.</t>
  </si>
  <si>
    <t>TC-04-03</t>
  </si>
  <si>
    <t>Hủy món đang CHO_PHA_CHE</t>
  </si>
  <si>
    <t>CD_CapNhat (themMon/suaMon/huyMon); api-contract §3 UC04 (DELETE /orders/:id/items/:chiTietId)</t>
  </si>
  <si>
    <t>ct-002</t>
  </si>
  <si>
    <t>HTTP 200. ct-002 chuyển DA_HUY; tongTien = 85.000 − 25.000 = 60.000 (món hủy không tính); món không còn hiện trên màn Bếp.</t>
  </si>
  <si>
    <t>TC-04-04</t>
  </si>
  <si>
    <t>Sửa số lượng = 1 (biên dưới hợp lệ)</t>
  </si>
  <si>
    <t>CD_CapNhat (themMon/suaMon/huyMon); api-contract §3 UC04; BPC T4</t>
  </si>
  <si>
    <t>ct-002: sửa 1 → 2 (chuẩn bị), sau đó 2 → 1</t>
  </si>
  <si>
    <t>Sau bước 3: HTTP 200; soLuong=1; tongTien = 85.000.</t>
  </si>
  <si>
    <t>TC-04-05</t>
  </si>
  <si>
    <t>Sửa số lượng = 99 (biên trên hợp lệ)</t>
  </si>
  <si>
    <t>ct-002: số lượng → 99</t>
  </si>
  <si>
    <t>HTTP 200. soLuong=99; tongTien = 60.000 + 99×25.000 = 2.535.000.</t>
  </si>
  <si>
    <t>TC-04-06</t>
  </si>
  <si>
    <t>Sửa số lượng = 0</t>
  </si>
  <si>
    <t>CD_CapNhat (themMon/suaMon/huyMon); api-contract §3 UC04; mã lỗi SO_LUONG_KHONG_HOP_LE</t>
  </si>
  <si>
    <t>ct-002: soLuong = 0</t>
  </si>
  <si>
    <t>API: HTTP 400, maLoi=SO_LUONG_KHONG_HOP_LE. Số lượng và tongTien không đổi.</t>
  </si>
  <si>
    <t>TC-04-07</t>
  </si>
  <si>
    <t>Sửa số lượng = 100 (vượt biên trên)</t>
  </si>
  <si>
    <t>ct-002: soLuong = 100</t>
  </si>
  <si>
    <t>HTTP 400, maLoi=SO_LUONG_KHONG_HOP_LE. Số lượng và tongTien không đổi.</t>
  </si>
  <si>
    <t>TC-04-08</t>
  </si>
  <si>
    <t>Hủy món đang DANG_LAM bị chặn</t>
  </si>
  <si>
    <t>Black-box theo UC Spec (EF: món đã chế biến)</t>
  </si>
  <si>
    <t>CD_CapNhat (themMon/suaMon/huyMon); api-contract §3 UC04; BPC T4, H3 (ẩn nút hủy)</t>
  </si>
  <si>
    <t>Đã nạp lại schema.sql rồi seed.sql; đã đăng nhập phucvu01; đơn dh-001 của ban-03 (B03) đang DANG_PHUC_VU, tổng 85.000: ct-001 (Cà phê sữa x2, DANG_LAM), ct-002 (Cà phê đen x1, CHO_PHA_CHE). ct-001 đang DANG_LAM.</t>
  </si>
  <si>
    <t>ct-001</t>
  </si>
  <si>
    <t>Giao diện ẩn nút "Hủy" với món DANG_LAM.
API: HTTP 409, maLoi=MON_DA_CHE_BIEN, message rõ ràng. Món vẫn DANG_LAM; tongTien không đổi.</t>
  </si>
  <si>
    <t>[X05]</t>
  </si>
  <si>
    <t>TC-04-09</t>
  </si>
  <si>
    <t>Sửa số lượng món đang DANG_LAM bị chặn</t>
  </si>
  <si>
    <t>ct-001: soLuong = 2</t>
  </si>
  <si>
    <t>HTTP 409, maLoi=MON_DA_CHE_BIEN. Số lượng và tongTien không đổi.</t>
  </si>
  <si>
    <t>TC-04-10</t>
  </si>
  <si>
    <t>Sửa và hủy món đã DA_XONG bị chặn</t>
  </si>
  <si>
    <t>Đã nạp lại schema.sql rồi seed.sql; đã đăng nhập phucvu01; đơn dh-002 của ban-04 (B04) đang HOAN_THANH, gồm ct-003 (Cà phê sữa x2) và ct-004 (Trà đào x1) đều DA_XONG.</t>
  </si>
  <si>
    <t>ct-003 (thuộc dh-002)</t>
  </si>
  <si>
    <t>Cả hai: HTTP 409, maLoi=MON_DA_CHE_BIEN. Món vẫn DA_XONG; tongTien không đổi.</t>
  </si>
  <si>
    <t>TC-04-11</t>
  </si>
  <si>
    <t>Gọi thêm món đã hết nguyên liệu</t>
  </si>
  <si>
    <t>CD_CapNhat (themMon/suaMon/huyMon); api-contract §3 UC04 (MON_TAM_HET như UC01)</t>
  </si>
  <si>
    <t>Đã nạp lại schema.sql rồi seed.sql; đã đăng nhập phucvu01; đơn dh-001 của ban-03 (B03) đang DANG_PHUC_VU, tổng 85.000: ct-001 (Cà phê sữa x2, DANG_LAM), ct-002 (Cà phê đen x1, CHO_PHA_CHE). mon-03 (Bạc xỉu) ở trạng thái TAM_HET.</t>
  </si>
  <si>
    <t>mon-03 (Bạc xỉu) x1</t>
  </si>
  <si>
    <t>Giao diện: món hiện xám, không chọn được.
API: HTTP 409, maLoi=MON_TAM_HET. Đơn không thay đổi.</t>
  </si>
  <si>
    <t>TC-04-12</t>
  </si>
  <si>
    <t>Cập nhật đơn đã thanh toán bị chặn</t>
  </si>
  <si>
    <t>Black-box theo UC Spec (EF: đơn đã thanh toán)</t>
  </si>
  <si>
    <t>CD_CapNhat (themMon/suaMon/huyMon); api-contract §3 UC04; mã lỗi DON_DA_THANH_TOAN</t>
  </si>
  <si>
    <t>Đã nạp lại schema.sql rồi seed.sql; đã đăng nhập phucvu01; dh-003 đã thanh toán.</t>
  </si>
  <si>
    <t>dh-003; mon-02 (Cà phê sữa) x1; chiTietId ct-005</t>
  </si>
  <si>
    <t>Cả ba: HTTP 409, maLoi=DON_DA_THANH_TOAN. Đơn không thay đổi.</t>
  </si>
  <si>
    <t>TC-04-13</t>
  </si>
  <si>
    <t>Sửa món với chiTietId không tồn tại</t>
  </si>
  <si>
    <t>EP (invalid class: id không tồn tại)</t>
  </si>
  <si>
    <t>CD_CapNhat (themMon/suaMon/huyMon); api-contract §3 UC04; mã lỗi MON_TRONG_DON_KHONG_TON_TAI</t>
  </si>
  <si>
    <t>chiTietId = "ct-khongco"</t>
  </si>
  <si>
    <t>HTTP 404, maLoi=MON_TRONG_DON_KHONG_TON_TAI. Đơn không thay đổi.</t>
  </si>
  <si>
    <t>TC-10-01</t>
  </si>
  <si>
    <t>Thanh toán tiền mặt, khách đưa dư tiền (UC10.1)</t>
  </si>
  <si>
    <t>SD_ThanhToan; api-contract §3 UC10 (POST /payments); UC10.1</t>
  </si>
  <si>
    <t>Đã đăng nhập thungan01; đơn dh-002 (ban-04/B04, HOAN_THANH, tổng 100.000, mọi món DA_XONG) chưa thanh toán (vừa nạp lại DB).</t>
  </si>
  <si>
    <t>donHangId = dh-002; phuongThuc = TIEN_MAT; tienKhachDua = 100.000 + 10.000 = 110.000; maGiaoDich mới</t>
  </si>
  <si>
    <t>HTTP 200; thanhCong=true; soTienThanhToan=100.000; tienThoi=10.000; trangThaiDon=DA_THANH_TOAN; trangThaiBan=CAN_DON; daXuLyTruoc=false.
CSDL: don_hang DA_THANH_TOAN, ban CAN_DON, đúng 1 bản ghi thanh_toan.
Giao diện: đóng popup, hiện toast thành công.</t>
  </si>
  <si>
    <t>Nạp lại schema.sql + seed.sql trước TC này (đơn dh-002 chỉ thanh toán được một lần).</t>
  </si>
  <si>
    <t>TC-10-02</t>
  </si>
  <si>
    <t>Tiền khách đưa đúng bằng số cần trả (tiền thối 0)</t>
  </si>
  <si>
    <t>BVA (tienKhachDua = số cần trả)</t>
  </si>
  <si>
    <t>SD_ThanhToan; api-contract §3 UC10 (POST /payments); BPC T6 (tinhTienThoi)</t>
  </si>
  <si>
    <t>phuongThuc = TIEN_MAT; tienKhachDua = 100.000; maGiaoDich mới</t>
  </si>
  <si>
    <t>HTTP 200; thanhCong=true; tienThoi=0; trangThaiDon=DA_THANH_TOAN; trangThaiBan=CAN_DON.</t>
  </si>
  <si>
    <t>TC-10-03</t>
  </si>
  <si>
    <t>Tiền khách đưa thiếu 1.000đ</t>
  </si>
  <si>
    <t>BVA (ngay dưới biên: số cần trả − 1.000)</t>
  </si>
  <si>
    <t>SD_ThanhToan; api-contract §3 UC10 (POST /payments); mã lỗi TIEN_KHONG_DU</t>
  </si>
  <si>
    <t>phuongThuc = TIEN_MAT; tienKhachDua = 100.000 − 1.000 = 99.000; maGiaoDich mới</t>
  </si>
  <si>
    <t>HTTP 400, maLoi=TIEN_KHONG_DU, thông báo "Số tiền khách đưa chưa đủ" hiện dưới ô nhập.
Đơn vẫn DANG_PHUC_VU; bàn không đổi; không có bản ghi thanh_toan mới.</t>
  </si>
  <si>
    <t>TC-10-04</t>
  </si>
  <si>
    <t>Tiền mặt nhưng thiếu tienKhachDua</t>
  </si>
  <si>
    <t>EP (invalid class: thiếu trường bắt buộc)</t>
  </si>
  <si>
    <t>SD_ThanhToan; api-contract §3 UC10 (POST /payments) (tienKhachDua bắt buộc khi TIEN_MAT)</t>
  </si>
  <si>
    <t>phuongThuc = TIEN_MAT; không có tienKhachDua; maGiaoDich mới</t>
  </si>
  <si>
    <t>HTTP 400, maLoi=DU_LIEU_KHONG_HOP_LE. Không ghi dữ liệu nào.</t>
  </si>
  <si>
    <t>Mã lỗi là giả định [X10].</t>
  </si>
  <si>
    <t>TC-10-05</t>
  </si>
  <si>
    <t>Phương thức thanh toán không hợp lệ</t>
  </si>
  <si>
    <t>EP (invalid class: phuongThuc ngoài tập cho phép)</t>
  </si>
  <si>
    <t>SD_ThanhToan; api-contract §3 UC10 (POST /payments); mã lỗi PHUONG_THUC_KHONG_HOP_LE</t>
  </si>
  <si>
    <t>phuongThuc = "THE_TIN_DUNG"; maGiaoDich mới</t>
  </si>
  <si>
    <t>HTTP 400, maLoi=PHUONG_THUC_KHONG_HOP_LE. Không ghi dữ liệu nào.</t>
  </si>
  <si>
    <t>TC-10-06</t>
  </si>
  <si>
    <t>Thanh toán QR giả lập (UC10.2)</t>
  </si>
  <si>
    <t>Functional (UC10.2)</t>
  </si>
  <si>
    <t>SD_ThanhToan; api-contract §3 UC10 (POST /payments); UC10.2</t>
  </si>
  <si>
    <t>donHangId = dh-002; phuongThuc = QR; không gửi tienKhachDua; maGiaoDich mới</t>
  </si>
  <si>
    <t>HTTP 200; thanhCong=true; phuongThuc=QR; trả về maGiaoDich; soTienThanhToan=100.000; trangThaiDon=DA_THANH_TOAN; trangThaiBan=CAN_DON. Không yêu cầu nhập tiền khách đưa.</t>
  </si>
  <si>
    <t>Giá trị tienThoi với QR (0 hay null) chưa rõ [X10]. Nạp lại schema.sql + seed.sql trước TC này (đơn dh-002 chỉ thanh toán được một lần).</t>
  </si>
  <si>
    <t>TC-10-07</t>
  </si>
  <si>
    <t>Bấm xác nhận 2 lần với cùng mã giao dịch</t>
  </si>
  <si>
    <t>Black-box theo UC Spec (EF: thanh toán trùng)</t>
  </si>
  <si>
    <t>SD_ThanhToan; api-contract §3 UC10 (POST /payments); BPC T6 (findByMaGiaoDich), mục 2 (chặn thanh toán trùng mã)</t>
  </si>
  <si>
    <t>maGiaoDich = "gd-test-0001"; phuongThuc = TIEN_MAT; tienKhachDua = 100.000</t>
  </si>
  <si>
    <t>Lần 1: HTTP 200, daXuLyTruoc=false.
Lần 2: HTTP 200, daXuLyTruoc=true, kết quả giống lần 1; không thu tiền lần hai.
CSDL chỉ có 1 bản ghi thanh_toan với maGiaoDich = gd-test-0001.</t>
  </si>
  <si>
    <t>TC-10-08</t>
  </si>
  <si>
    <t>Thanh toán đơn đã thanh toán (mã giao dịch khác)</t>
  </si>
  <si>
    <t>SD_ThanhToan; api-contract §3 UC10 (POST /payments); mã lỗi DON_DA_THANH_TOAN</t>
  </si>
  <si>
    <t>Đã đăng nhập thungan01; dh-003 đã thanh toán.</t>
  </si>
  <si>
    <t>donHangId = dh-003; phuongThuc = TIEN_MAT; tienKhachDua đủ; maGiaoDich mới (mã đã dùng trong seed: GD-20261008-001)</t>
  </si>
  <si>
    <t>HTTP 409, maLoi=DON_DA_THANH_TOAN. Không thêm bản ghi thanh_toan; đơn và bàn giữ nguyên.</t>
  </si>
  <si>
    <t>Thanh toán đơn chưa gửi bếp</t>
  </si>
  <si>
    <t>Black-box theo UC Spec (EF: đơn chưa gửi bếp)</t>
  </si>
  <si>
    <t>SD_ThanhToan; api-contract §3 UC10 (POST /payments); mã lỗi DON_CHUA_GUI_BEP</t>
  </si>
  <si>
    <t>Đã đăng nhập thungan01; dh-004 là đơn có isSynced=false (chạy SQL: UPDATE don_hang SET is_synced = FALSE WHERE id = 'dh-004';).</t>
  </si>
  <si>
    <t>donHangId = dh-004; phuongThuc = TIEN_MAT; tienKhachDua đủ; maGiaoDich mới</t>
  </si>
  <si>
    <t>HTTP 409, maLoi=DON_CHUA_GUI_BEP. Không ghi dữ liệu; đơn dh-004 vẫn DANG_PHUC_VU; trạng thái bàn ban-06 giữ nguyên (seed đang để CAN_DON).</t>
  </si>
  <si>
    <t>Có thể tạo đơn chưa đồng bộ từ TC-01-10 [X06]. Lưu ý seed: dh-004 có tong_tien 70.000 gồm cả món DA_HUY 30.000 [X16].</t>
  </si>
  <si>
    <t>TC-10-10</t>
  </si>
  <si>
    <t>Lỗi giữa chừng: rollback cả 3 thao tác ghi</t>
  </si>
  <si>
    <t>Black-box theo UC Spec (EF: lỗi hệ thống)</t>
  </si>
  <si>
    <t>SD_ThanhToan; api-contract §3 UC10 (POST /payments); BPC T6 (3 thao tác ghi trong 1 transaction)</t>
  </si>
  <si>
    <t>Đã đăng nhập thungan01; đơn dh-002 (ban-04/B04, HOAN_THANH, tổng 100.000, mọi món DA_XONG) chưa thanh toán (vừa nạp lại DB). Có cách ép một trong 3 thao tác ghi bị lỗi (cách làm do Tuấn xác nhận).</t>
  </si>
  <si>
    <t>donHangId = dh-002; phuongThuc = TIEN_MAT; tienKhachDua = 100.000</t>
  </si>
  <si>
    <t>API trả lỗi (giả định HTTP 500, maLoi=LOI_HE_THONG).
Rollback toàn bộ: không có bản ghi thanh_toan mới; đơn vẫn DANG_PHUC_VU; bàn vẫn DANG_PHUC_VU (không có dữ liệu nửa vời).</t>
  </si>
  <si>
    <t>Cách ép lỗi [X07]. Nạp lại schema.sql + seed.sql trước TC này (đơn dh-002 chỉ thanh toán được một lần).</t>
  </si>
  <si>
    <t>TC-10-11</t>
  </si>
  <si>
    <t>Nút "Xác nhận" bị khóa khi đang xử lý (chống bấm 2 lần)</t>
  </si>
  <si>
    <t>Phi chức năng</t>
  </si>
  <si>
    <t>UI: chống thao tác trùng</t>
  </si>
  <si>
    <t>BPC H4 (khóa nút khi đang xử lý; maGiaoDich tạo 1 lần mỗi lượt)</t>
  </si>
  <si>
    <t>phuongThuc = TIEN_MAT; tienKhachDua = 100.000</t>
  </si>
  <si>
    <t>Nút bị khóa ngay khi đang xử lý; chỉ 1 request POST /api/payments được gửi (nếu có 2 thì cùng maGiaoDich).
CSDL chỉ có 1 bản ghi thanh_toan. Popup đóng, giỏ được xóa, hiện toast thành công.</t>
  </si>
  <si>
    <t>Tên nút theo giao diện của Hậu, cập nhật khi nhận bản 07/10 [X14]. Nạp lại schema.sql + seed.sql trước TC này (đơn dh-002 chỉ thanh toán được một lần).</t>
  </si>
  <si>
    <t>TC-15-01</t>
  </si>
  <si>
    <t>Hiển thị đúng thứ tự FIFO</t>
  </si>
  <si>
    <t>Functional</t>
  </si>
  <si>
    <t>UC15 main flow</t>
  </si>
  <si>
    <t>Đã chạy reset_db</t>
  </si>
  <si>
    <t>3 Order gửi cách nhau 1 phút</t>
  </si>
  <si>
    <t>HTTP 200. Màn hình KDS hiển thị 3 thẻ Order xếp đúng thứ tự FIFO (Order A trên cùng).</t>
  </si>
  <si>
    <t>TC-15-02</t>
  </si>
  <si>
    <t>Hiển thị trạng thái màn hình rỗng</t>
  </si>
  <si>
    <t>UC15 alt flow</t>
  </si>
  <si>
    <t>Quán chưa có order nào</t>
  </si>
  <si>
    <t>N/A</t>
  </si>
  <si>
    <t>HTTP 200. Danh sách rỗng, giao diện hiện trạng thái "Chưa có order".</t>
  </si>
  <si>
    <t>TC-15-03</t>
  </si>
  <si>
    <t>Hiển thị ghi chú đặc biệt</t>
  </si>
  <si>
    <t>Phục vụ gửi order có ghi chú</t>
  </si>
  <si>
    <t>"Ít đá, không đường"</t>
  </si>
  <si>
    <t>HTTP 200. Ghi chú "Ít đá, không đường" được in đậm/nổi bật trên thẻ tương ứng.</t>
  </si>
  <si>
    <t>TC-15-04</t>
  </si>
  <si>
    <t>Màn hình KDS tự động làm mới</t>
  </si>
  <si>
    <t>NFR: Realtime</t>
  </si>
  <si>
    <t>Màn hình KDS đang mở</t>
  </si>
  <si>
    <t>KDS tự động fetch API (mỗi 3s) và hiển thị Order mới không cần tải lại trang F5.</t>
  </si>
  <si>
    <t>TC-15-05</t>
  </si>
  <si>
    <t>Cảnh báo khi mất kết nối mạng</t>
  </si>
  <si>
    <t>Error Guessing</t>
  </si>
  <si>
    <t>NFR: Resilience</t>
  </si>
  <si>
    <t>KDS đang mở</t>
  </si>
  <si>
    <t>Ngắt mạng</t>
  </si>
  <si>
    <t>Giao diện hiện toast thông báo "Mất kết nối".</t>
  </si>
  <si>
    <t>TC-16-01</t>
  </si>
  <si>
    <t>Chuyển trạng thái món hợp lệ</t>
  </si>
  <si>
    <t>UC16 main flow</t>
  </si>
  <si>
    <t>KDS có Order chờ ở CHO_PHA_CHE</t>
  </si>
  <si>
    <t>HTTP 200. Trạng thái món chuyển đổi thành công trên giao diện và CSDL sau mỗi lần bấm.</t>
  </si>
  <si>
    <t>TC-16-02</t>
  </si>
  <si>
    <t>Tự động hoàn thành Order</t>
  </si>
  <si>
    <t>Order có nhiều món, các món khác đã DA_XONG</t>
  </si>
  <si>
    <t>HTTP 200. Trạng thái của toàn bộ Đơn hàng tự động chuyển từ DANG_PHUC_VU sang HOAN_THANH.</t>
  </si>
  <si>
    <t>TC-16-03</t>
  </si>
  <si>
    <t>Nhảy cóc trạng thái trái phép</t>
  </si>
  <si>
    <t>UC16 exception</t>
  </si>
  <si>
    <t>Món đang ở CHO_PHA_CHE</t>
  </si>
  <si>
    <t>HTTP 400, maloi=TRANG_THAI_KHONG_HOP_LE. Hệ thống chặn thao tác.</t>
  </si>
  <si>
    <t>TC-16-04</t>
  </si>
  <si>
    <t>Lùi trạng thái trái phép</t>
  </si>
  <si>
    <t>Món đang ở DA_XONG</t>
  </si>
  <si>
    <t>HTTP 400. API từ chối cập nhật lùi trái phép.</t>
  </si>
  <si>
    <t>Có thể dùng Postman ép lỗi.</t>
  </si>
  <si>
    <t>TC-16-05</t>
  </si>
  <si>
    <t>Thao tác trên món đã bị hủy</t>
  </si>
  <si>
    <t>Order có món bị hủy (DA_HUY)</t>
  </si>
  <si>
    <t>Giao diện: nút bị khóa. Nếu gọi API thẳng sẽ trả HTTP 400.</t>
  </si>
  <si>
    <t>TC-16-06</t>
  </si>
  <si>
    <t>Hoàn tác trạng thái món</t>
  </si>
  <si>
    <t>UC16 alt flow</t>
  </si>
  <si>
    <t>Món vừa chuyển sang DANG_LAM</t>
  </si>
  <si>
    <t>HTTP 200. Trạng thái lùi đúng 1 bước về lại CHO_PHA_CHE.</t>
  </si>
  <si>
    <t>TC-18-01</t>
  </si>
  <si>
    <t>Cập nhật tồn kho bình thường</t>
  </si>
  <si>
    <t>UC18 main flow</t>
  </si>
  <si>
    <t>Tồn kho = 10</t>
  </si>
  <si>
    <t>HTTP 200. Hệ thống lưu thành công, món ăn liên quan hiển thị trạng thái đang bán bình thường.</t>
  </si>
  <si>
    <t>TC-18-02</t>
  </si>
  <si>
    <t>Khóa món tự động khi tồn kho = 0</t>
  </si>
  <si>
    <t>BVA</t>
  </si>
  <si>
    <t>Tồn kho = 0</t>
  </si>
  <si>
    <t>HTTP 200. Các món sử dụng Cà phê tự động khóa (chuyển sang TAM_HET), giao diện chuyển xám.</t>
  </si>
  <si>
    <t>Giá trị biên 0.</t>
  </si>
  <si>
    <t>TC-18-03</t>
  </si>
  <si>
    <t>Nhập tồn kho là số âm</t>
  </si>
  <si>
    <t>UC18 exception</t>
  </si>
  <si>
    <t>Tồn kho = -5</t>
  </si>
  <si>
    <t>HTTP 400, maloi=SO_LUONG_KHONG_HOP_LE. Hệ thống chặn cập nhật, thông báo lỗi không được nhập số âm.</t>
  </si>
  <si>
    <t>TC-18-04</t>
  </si>
  <si>
    <t>Bỏ trống ô nhập tồn kho</t>
  </si>
  <si>
    <t>EP</t>
  </si>
  <si>
    <t>Tồn kho = rỗng</t>
  </si>
  <si>
    <t>HTTP 400, maloi=THIEU_THONG_TIN. Hệ thống báo lỗi yêu cầu nhập dữ liệu hợp lệ.</t>
  </si>
  <si>
    <t>TC-18-05</t>
  </si>
  <si>
    <t>Mở bán lại khi nhập thêm hàng</t>
  </si>
  <si>
    <t>UC18 alt flow</t>
  </si>
  <si>
    <t>Món Cà phê đang bị khóa (TAM_HET)</t>
  </si>
  <si>
    <t>Tồn kho = 50</t>
  </si>
  <si>
    <t>HTTP 200. Tồn kho cập nhật, món Cà phê tự động mở bán trở lại.</t>
  </si>
  <si>
    <t>Kiểm tra logic nối với màn gọi món.</t>
  </si>
  <si>
    <t>TC-08-01</t>
  </si>
  <si>
    <t>Lập hóa đơn bình thường</t>
  </si>
  <si>
    <t>UC08 main flow</t>
  </si>
  <si>
    <t>Bàn 01 có đơn, các món đã gửi bếp</t>
  </si>
  <si>
    <t>Bàn = 01</t>
  </si>
  <si>
    <t>HTTP 200. Trả về HoaDonDTO: ds món, tổng tiền, giảm giá=0, cần thanh toán=tổng tiền.</t>
  </si>
  <si>
    <t>TC-08-02</t>
  </si>
  <si>
    <t>Lập hóa đơn cho bàn trống</t>
  </si>
  <si>
    <t>UC08 exception</t>
  </si>
  <si>
    <t>Bàn 02 chưa có khách (TRONG)</t>
  </si>
  <si>
    <t>Bàn = 02</t>
  </si>
  <si>
    <t>HTTP 400, maloi=BAN_KHONG_CO_DON. Hệ thống chặn.</t>
  </si>
  <si>
    <t>TC-08-03</t>
  </si>
  <si>
    <t>Lập hóa đơn khi có món chưa gửi</t>
  </si>
  <si>
    <t>Bàn 03 có món vừa chọn nhưng CHƯA gửi bếp</t>
  </si>
  <si>
    <t>Bàn = 03</t>
  </si>
  <si>
    <t>HTTP 400, maloi=DON_CHUA_GUI_BEP.</t>
  </si>
  <si>
    <t>TC-08-04</t>
  </si>
  <si>
    <t>Lập hóa đơn có mã giảm giá</t>
  </si>
  <si>
    <t>UC08 alt flow</t>
  </si>
  <si>
    <t>Đơn hàng áp dụng khuyến mãi 10%</t>
  </si>
  <si>
    <t>giamGia=10</t>
  </si>
  <si>
    <t>HTTP 200. HoaDonDTO tính chính xác: Cần thanh toán = Tổng tiền - Giảm giá.</t>
  </si>
  <si>
    <t>TC-08-05</t>
  </si>
  <si>
    <t>Lập hóa đơn giá trị cực lớn</t>
  </si>
  <si>
    <t>UC08 boundary</t>
  </si>
  <si>
    <t>Bàn VIP gọi nhiều món</t>
  </si>
  <si>
    <t>Tổng &gt; 10 triệu</t>
  </si>
  <si>
    <t>HTTP 200. Giao diện hiển thị không bị tràn, định dạng đúng tiền tệ (VNĐ).</t>
  </si>
  <si>
    <t>TC-08-06</t>
  </si>
  <si>
    <t>Hiển thị Popup xác nhận thanh toán</t>
  </si>
  <si>
    <t>Đang xem hóa đơn hợp lệ</t>
  </si>
  <si>
    <t>Popup thanh toán hiện ra với đúng tổng tiền cần thu từ HoaDonDTO.</t>
  </si>
  <si>
    <t>7 cột đầu (nền xanh đậm) là các trường bắt buộc của C6-D2. 3 cột cam là theo dõi nội bộ. Mỗi TC FAIL viết 1 dòng; Bug ID dạng BUG-N5-001; "Kết quả thực tế" và "Kết quả mong đợi" chép đúng Actual/Expected trong Test Case. Dòng 3 chỉ là ví dụ, bỏ qua khi đếm.</t>
  </si>
  <si>
    <t>Bug ID</t>
  </si>
  <si>
    <t>Related TC</t>
  </si>
  <si>
    <t>Mô tả lỗi</t>
  </si>
  <si>
    <t>Bước tái hiện</t>
  </si>
  <si>
    <t>Kết quả thực tế</t>
  </si>
  <si>
    <t>Kết quả mong đợi</t>
  </si>
  <si>
    <t>Mức độ nghiêm trọng</t>
  </si>
  <si>
    <t>Người sửa</t>
  </si>
  <si>
    <t>Trạng thái</t>
  </si>
  <si>
    <t>Kết quả retest</t>
  </si>
  <si>
    <t>VÍ DỤ (xóa dòng này)</t>
  </si>
  <si>
    <t>Hệ thống cho phép tạo order chứa món đã hết nguyên liệu mà không báo lỗi</t>
  </si>
  <si>
    <t>1. Đăng nhập tài khoản Phục vụ.
2. Chọn bàn đang TRONG.
3. Chọn món TAM_HET, số lượng 1.
4. Bấm "Gửi bếp".</t>
  </si>
  <si>
    <t>Order được tạo thành công (HTTP 201)</t>
  </si>
  <si>
    <t>HTTP 409, maLoi=MON_TAM_HET, thông báo "Món … đã hết nguyên liệu"; không tạo đơn</t>
  </si>
  <si>
    <t>High</t>
  </si>
  <si>
    <t>Mới</t>
  </si>
  <si>
    <t>TỔNG HỢP KẾT QUẢ KIỂM THỬ</t>
  </si>
  <si>
    <t>Toàn bộ số liệu là công thức, tự cập nhật từ sheet Test Case và Bug Report. Chỉ các ô nền vàng ở mục 3 cần điền tay (K4).</t>
  </si>
  <si>
    <t>Người test</t>
  </si>
  <si>
    <t>Tổng TC</t>
  </si>
  <si>
    <t>Đã chạy</t>
  </si>
  <si>
    <t>PASS</t>
  </si>
  <si>
    <t>FAIL</t>
  </si>
  <si>
    <t>Tỉ lệ pass (%)</t>
  </si>
  <si>
    <t>Số bug</t>
  </si>
  <si>
    <t>TỔNG</t>
  </si>
  <si>
    <t>Toàn nhóm (8 UC)</t>
  </si>
  <si>
    <t>1. Theo loại test case</t>
  </si>
  <si>
    <t>2. Bug theo mức độ nghiêm trọng</t>
  </si>
  <si>
    <t>Mức độ</t>
  </si>
  <si>
    <t>Đã sửa</t>
  </si>
  <si>
    <t>Chưa sửa</t>
  </si>
  <si>
    <t>Critical</t>
  </si>
  <si>
    <t>Medium</t>
  </si>
  <si>
    <t>Low</t>
  </si>
  <si>
    <t>3. Khung báo cáo kết quả (mẫu C6-D2), điền ở K4 trước 21:00 09/10</t>
  </si>
  <si>
    <t>Tổng hợp số liệu</t>
  </si>
  <si>
    <t>Lỗi nghiêm trọng nhất</t>
  </si>
  <si>
    <t>Phân tích nguyên nhân</t>
  </si>
  <si>
    <t>Hướng sửa (method / file)</t>
  </si>
  <si>
    <t>Nhận xét về độ bao phủ</t>
  </si>
  <si>
    <t>Các điểm contract/tài liệu chưa rõ. Test case đang dùng cột "Giả định"; khi có câu trả lời, điền cột nền vàng và sửa Expected ở các TC liên quan.</t>
  </si>
  <si>
    <t>Mã</t>
  </si>
  <si>
    <t>Câu hỏi / điểm chưa rõ</t>
  </si>
  <si>
    <t>Giả định đang dùng trong test case</t>
  </si>
  <si>
    <t>Hỏi ai</t>
  </si>
  <si>
    <t>Ảnh hưởng TC</t>
  </si>
  <si>
    <t>Câu trả lời (điền)</t>
  </si>
  <si>
    <t>X01</t>
  </si>
  <si>
    <t>Bàn đang DANG_PHUC_VU đã có đơn: POST /orders có trả BAN_DA_CO_DON (409) không, và gọi thêm đi qua UC04?</t>
  </si>
  <si>
    <t>Trả BAN_DA_CO_DON 409 (đề xuất ở api-contract §4 điểm 1)</t>
  </si>
  <si>
    <t>Chưa hỏi</t>
  </si>
  <si>
    <t>X02</t>
  </si>
  <si>
    <t>Sai lần thứ 5 trả TAI_KHOAN_BI_KHOA (423) ngay hay lần thứ 6 mới 423? Khóa bao lâu, có tự mở không? Đăng nhập đúng có reset so_lan_sai không?</t>
  </si>
  <si>
    <t>Lần sai thứ 5 đã trả 423; khóa không tự mở; đăng nhập đúng reset bộ đếm về 0</t>
  </si>
  <si>
    <t>TC-21-06, 07</t>
  </si>
  <si>
    <t>X03</t>
  </si>
  <si>
    <t>Bỏ trống username hoặc mật khẩu có tính vào so_lan_sai không?</t>
  </si>
  <si>
    <t>Không tính</t>
  </si>
  <si>
    <t>X04</t>
  </si>
  <si>
    <t>Seed có blocked01 (BI_KHOA) nhưng không có tài khoản VO_HIEU (enum có giá trị này).</t>
  </si>
  <si>
    <t>Tạo vohieu01 bằng SQL (sheet "SQL hỗ trợ"). Nên nhờ An thêm vào seed.</t>
  </si>
  <si>
    <t>An</t>
  </si>
  <si>
    <t>TC-21-08, 09</t>
  </si>
  <si>
    <t>X05</t>
  </si>
  <si>
    <t>UC01, UC04</t>
  </si>
  <si>
    <t>Seed đã có: 2+ món CON_HANG, mon-03 Bạc xỉu TAM_HET, dh-001 có món DANG_LAM và CHO_PHA_CHE, dh-002 có món DA_XONG. Món DA_XONG nằm ở đơn khác dh-001.</t>
  </si>
  <si>
    <t>Đã điều chỉnh các TC UC04 theo seed.</t>
  </si>
  <si>
    <t>An, Tuấn</t>
  </si>
  <si>
    <t>TC-01, TC-04</t>
  </si>
  <si>
    <t>Đã chốt</t>
  </si>
  <si>
    <t>X06</t>
  </si>
  <si>
    <t>Cách giả lập "bếp không phản hồi quá 5 giây" (chỉnh KDS_TIMEOUT_MS, stub, hay cờ riêng)? isSynced=false thì HTTP là mấy?</t>
  </si>
  <si>
    <t>Có cách giả lập; HTTP 201</t>
  </si>
  <si>
    <t>TC-01-10, TC-10-09</t>
  </si>
  <si>
    <t>X07</t>
  </si>
  <si>
    <t>Cách ép lỗi giữa transaction để kiểm tra rollback?</t>
  </si>
  <si>
    <t>Có cách ép lỗi ở thao tác ghi thứ 2 hoặc 3; API trả 500 LOI_HE_THONG</t>
  </si>
  <si>
    <t>X08</t>
  </si>
  <si>
    <t>soLuong không phải số nguyên (1.5, "abc") hoặc thiếu banId: trả DU_LIEU_KHONG_HOP_LE hay SO_LUONG_KHONG_HOP_LE?</t>
  </si>
  <si>
    <t>Chưa có TC; sẽ thêm khi có câu trả lời</t>
  </si>
  <si>
    <t>(chưa có)</t>
  </si>
  <si>
    <t>X09</t>
  </si>
  <si>
    <t>Sửa/hủy món đã DA_HUY trả mã lỗi gì? Hủy hết món thì đơn thành gì? Gọi thêm vào đơn HOAN_THANH có được không?</t>
  </si>
  <si>
    <t>X10</t>
  </si>
  <si>
    <t>Có cho thanh toán khi món chưa DA_XONG (ví dụ dh-001)? QR thì tienThoi là 0 hay null? TIEN_MAT thiếu tienKhachDua trả mã lỗi gì?</t>
  </si>
  <si>
    <t>Cho phép thanh toán; mã lỗi DU_LIEU_KHONG_HOP_LE; tienThoi QR chưa ràng buộc</t>
  </si>
  <si>
    <t>TC-10-04, 06</t>
  </si>
  <si>
    <t>X11</t>
  </si>
  <si>
    <t>CHU_QUAN có được gọi các API gọi món và thanh toán không?</t>
  </si>
  <si>
    <t>TC-21-11 dùng PHUC_VU → /payments nên không phụ thuộc</t>
  </si>
  <si>
    <t>Tuấn, Hậu</t>
  </si>
  <si>
    <t>X12</t>
  </si>
  <si>
    <t>Chưa có UC Spec (UC21...), SD Tạo order, CD_CapNhat, SD_ThanhToan, CLASSDIAGRAM. Cột "Truy vết" hiện lấy từ api-contract và Bảng phân công.</t>
  </si>
  <si>
    <t>Truy vết tạm theo api-contract và Bảng phân công</t>
  </si>
  <si>
    <t>Sơn, Hậu</t>
  </si>
  <si>
    <t>Cột Truy vết</t>
  </si>
  <si>
    <t>X13</t>
  </si>
  <si>
    <t>Cơ chế token: báo cáo ghi JWT. Cách gửi trong Postman (header Authorization: Bearer ...)?</t>
  </si>
  <si>
    <t>Authorization: Bearer &lt;token&gt;</t>
  </si>
  <si>
    <t>TC-21-10, 11</t>
  </si>
  <si>
    <t>X14</t>
  </si>
  <si>
    <t>Tên màn hình, tên nút trên giao diện (Gửi bếp, Gọi thêm, Xác nhận...) chưa chắc đúng.</t>
  </si>
  <si>
    <t>Dùng tên theo mô tả; sửa khi chạy thực tế</t>
  </si>
  <si>
    <t>Bước giao diện của TC</t>
  </si>
  <si>
    <t>X15</t>
  </si>
  <si>
    <t>Bàn DAT_TRUOC (ban-07, ban-08) có được gọi món không? Contract chỉ nói chặn CAN_DON.</t>
  </si>
  <si>
    <t>X16</t>
  </si>
  <si>
    <t>UC10, UC08</t>
  </si>
  <si>
    <t>Seed dh-004: bàn ban-06 CAN_DON nhưng đơn vẫn DANG_PHUC_VU; tong_tien 70.000 gồm cả món DA_HUY 30.000 (báo cáo mục 7 nói món hủy phải bị loại, tức 40.000). Cố ý hay lỗi seed?</t>
  </si>
  <si>
    <t>Không dùng dh-004 cho TC thanh toán chuẩn</t>
  </si>
  <si>
    <t>TC-10-09; UC08</t>
  </si>
  <si>
    <t>Http: 200, success = True,  data trả về có token, nhanvienID='nv-001', hoTen="Nguyễn Văn Phục Vụ"vaiTro="PHUC_VU", trangChu="/tables.html". Giao diện chuyển hướng thành công sang màn Sơ đồ bàn</t>
  </si>
  <si>
    <t>Pass</t>
  </si>
  <si>
    <t>KQ-test\TC-21-01.png</t>
  </si>
  <si>
    <t>Đăng nhập thành công cả 3 tài khoản và đã điều hướng đúng màn hình của từng tài khoản</t>
  </si>
  <si>
    <t>KQ-test\TC-21-02.pdf</t>
  </si>
  <si>
    <t>KQ-test\TC-21-03.png</t>
  </si>
  <si>
    <t>success: false, "data": null, "maLoi": "SAI_THONG_TIN", "message": "Sai tên đăng nhập hoặc mật khẩu" } ở lại trang đăng nhập, solansai có tăng lên 1 và khi đăng nhập đúng thì solansai về lại 0</t>
  </si>
  <si>
    <t>Lỗi hiện ngay dưới ô còn thiếu; không đăng nhập.</t>
  </si>
  <si>
    <t>KQ-test\TC-21-05.png</t>
  </si>
  <si>
    <t>hiển thị lỗi màu đỏ trực tiếp dưới ô input ("Vui lòng nhập tên đăng nhập" / "Vui lòng nhập mật khẩu"), và không tính số lần sai</t>
  </si>
  <si>
    <t>KQ-test\TC-21-06.png</t>
  </si>
  <si>
    <t>4 lần đầu đăng nhập sai vẫn chưa bị khóa đến lần 5 đăng nhập đúng vào đúng màn hình. Và solansai cũng về 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</si>
</sst>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b/>
      <sz val="14"/>
      <color rgb="FF1F3864"/>
      <name val="Arial"/>
      <charset val="1"/>
    </font>
    <font>
      <i/>
      <sz val="9"/>
      <color rgb="FF7F7F7F"/>
      <name val="Arial"/>
      <charset val="1"/>
    </font>
    <font>
      <b/>
      <sz val="11"/>
      <color rgb="FFFFFFFF"/>
      <name val="Arial"/>
      <charset val="1"/>
    </font>
    <font>
      <b/>
      <sz val="10"/>
      <color rgb="FF000000"/>
      <name val="Arial"/>
      <charset val="1"/>
    </font>
    <font>
      <sz val="10"/>
      <color rgb="FF000000"/>
      <name val="Arial"/>
      <charset val="1"/>
    </font>
    <font>
      <b/>
      <sz val="10"/>
      <color rgb="FFFFFFFF"/>
      <name val="Arial"/>
      <charset val="1"/>
    </font>
    <font>
      <i/>
      <sz val="10"/>
      <color rgb="FF7F7F7F"/>
      <name val="Arial"/>
      <charset val="1"/>
    </font>
    <font>
      <b/>
      <sz val="11"/>
      <color rgb="FF1F3864"/>
      <name val="Arial"/>
      <charset val="1"/>
    </font>
    <font>
      <u/>
      <sz val="11"/>
      <color theme="10"/>
      <name val="Calibri"/>
      <family val="2"/>
      <charset val="1"/>
    </font>
  </fonts>
  <fills count="6">
    <fill>
      <patternFill patternType="none"/>
    </fill>
    <fill>
      <patternFill patternType="gray125"/>
    </fill>
    <fill>
      <patternFill patternType="solid">
        <fgColor rgb="FF1F3864"/>
        <bgColor rgb="FF333333"/>
      </patternFill>
    </fill>
    <fill>
      <patternFill patternType="solid">
        <fgColor rgb="FFDDEBF7"/>
        <bgColor rgb="FFEDEDED"/>
      </patternFill>
    </fill>
    <fill>
      <patternFill patternType="solid">
        <fgColor rgb="FFFFF2CC"/>
        <bgColor rgb="FFEDEDED"/>
      </patternFill>
    </fill>
    <fill>
      <patternFill patternType="solid">
        <fgColor rgb="FFC55A11"/>
        <bgColor rgb="FFED7D31"/>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s>
  <cellStyleXfs count="2">
    <xf numFmtId="0" fontId="0" fillId="0" borderId="0"/>
    <xf numFmtId="0" fontId="9" fillId="0" borderId="0" applyNumberFormat="0" applyFill="0" applyBorder="0" applyAlignment="0" applyProtection="0"/>
  </cellStyleXfs>
  <cellXfs count="25">
    <xf numFmtId="0" fontId="0" fillId="0" borderId="0" xfId="0"/>
    <xf numFmtId="0" fontId="5" fillId="4" borderId="1" xfId="0" applyFont="1" applyFill="1" applyBorder="1" applyAlignment="1">
      <alignment vertical="top" wrapText="1"/>
    </xf>
    <xf numFmtId="0" fontId="5" fillId="0" borderId="1" xfId="0" applyFont="1" applyBorder="1" applyAlignment="1">
      <alignment vertical="top" wrapText="1"/>
    </xf>
    <xf numFmtId="0" fontId="1" fillId="0" borderId="0" xfId="0" applyFont="1"/>
    <xf numFmtId="0" fontId="2" fillId="0" borderId="0" xfId="0" applyFont="1"/>
    <xf numFmtId="0" fontId="3" fillId="2" borderId="0" xfId="0" applyFont="1" applyFill="1"/>
    <xf numFmtId="0" fontId="0" fillId="2" borderId="0" xfId="0" applyFill="1"/>
    <xf numFmtId="0" fontId="4" fillId="3" borderId="1" xfId="0" applyFont="1" applyFill="1" applyBorder="1" applyAlignment="1">
      <alignment vertical="top" wrapText="1"/>
    </xf>
    <xf numFmtId="0" fontId="6" fillId="2" borderId="1" xfId="0" applyFont="1" applyFill="1" applyBorder="1" applyAlignment="1">
      <alignment horizontal="center" vertical="center" wrapText="1"/>
    </xf>
    <xf numFmtId="0" fontId="4" fillId="0" borderId="1" xfId="0" applyFont="1" applyBorder="1" applyAlignment="1">
      <alignment horizontal="center" vertical="top" wrapText="1"/>
    </xf>
    <xf numFmtId="0" fontId="5" fillId="0" borderId="1" xfId="0" applyFont="1" applyBorder="1" applyAlignment="1">
      <alignment horizontal="center" vertical="top" wrapText="1"/>
    </xf>
    <xf numFmtId="0" fontId="4" fillId="0" borderId="1" xfId="0" applyFont="1" applyBorder="1" applyAlignment="1">
      <alignment vertical="top" wrapText="1"/>
    </xf>
    <xf numFmtId="0" fontId="6" fillId="5" borderId="1" xfId="0" applyFont="1" applyFill="1" applyBorder="1" applyAlignment="1">
      <alignment horizontal="center" vertical="center" wrapText="1"/>
    </xf>
    <xf numFmtId="0" fontId="7" fillId="0" borderId="1" xfId="0" applyFont="1" applyBorder="1" applyAlignment="1">
      <alignment horizontal="center" vertical="top" wrapText="1"/>
    </xf>
    <xf numFmtId="0" fontId="7" fillId="0" borderId="1" xfId="0" applyFont="1" applyBorder="1" applyAlignment="1">
      <alignment vertical="top" wrapText="1"/>
    </xf>
    <xf numFmtId="164" fontId="5" fillId="0" borderId="1" xfId="0" applyNumberFormat="1" applyFont="1" applyBorder="1" applyAlignment="1">
      <alignment horizontal="center" vertical="top" wrapText="1"/>
    </xf>
    <xf numFmtId="0" fontId="4" fillId="3" borderId="1" xfId="0" applyFont="1" applyFill="1" applyBorder="1" applyAlignment="1">
      <alignment horizontal="center" vertical="top" wrapText="1"/>
    </xf>
    <xf numFmtId="0" fontId="5" fillId="3" borderId="1" xfId="0" applyFont="1" applyFill="1" applyBorder="1" applyAlignment="1">
      <alignment vertical="top" wrapText="1"/>
    </xf>
    <xf numFmtId="164" fontId="4" fillId="3" borderId="1" xfId="0" applyNumberFormat="1" applyFont="1" applyFill="1" applyBorder="1" applyAlignment="1">
      <alignment horizontal="center" vertical="top" wrapText="1"/>
    </xf>
    <xf numFmtId="0" fontId="8" fillId="0" borderId="0" xfId="0" applyFont="1"/>
    <xf numFmtId="0" fontId="5" fillId="4" borderId="1" xfId="0" applyFont="1" applyFill="1" applyBorder="1" applyAlignment="1">
      <alignment horizontal="center" vertical="top" wrapText="1"/>
    </xf>
    <xf numFmtId="0" fontId="9" fillId="0" borderId="1" xfId="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6" fillId="2" borderId="2" xfId="0" applyFont="1" applyFill="1" applyBorder="1" applyAlignment="1">
      <alignment horizontal="center" vertical="center" wrapText="1"/>
    </xf>
  </cellXfs>
  <cellStyles count="2">
    <cellStyle name="Hyperlink" xfId="1" builtinId="8"/>
    <cellStyle name="Normal" xfId="0" builtinId="0"/>
  </cellStyles>
  <dxfs count="3">
    <dxf>
      <font>
        <color rgb="FF7F7F7F"/>
        <name val="Arial"/>
        <charset val="1"/>
      </font>
      <fill>
        <patternFill>
          <bgColor rgb="FFEDEDED"/>
        </patternFill>
      </fill>
    </dxf>
    <dxf>
      <font>
        <b/>
        <color rgb="FF9C0006"/>
        <name val="Arial"/>
        <charset val="1"/>
      </font>
      <fill>
        <patternFill>
          <bgColor rgb="FFFFC7CE"/>
        </patternFill>
      </fill>
    </dxf>
    <dxf>
      <font>
        <b/>
        <color rgb="FF006100"/>
        <name val="Arial"/>
        <charset val="1"/>
      </font>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006100"/>
      <rgbColor rgb="FF000080"/>
      <rgbColor rgb="FF548235"/>
      <rgbColor rgb="FF800080"/>
      <rgbColor rgb="FF008080"/>
      <rgbColor rgb="FFBFBFBF"/>
      <rgbColor rgb="FF7F7F7F"/>
      <rgbColor rgb="FF9999FF"/>
      <rgbColor rgb="FF7030A0"/>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DED"/>
      <rgbColor rgb="FFC6EFCE"/>
      <rgbColor rgb="FFFFFF99"/>
      <rgbColor rgb="FF99CCFF"/>
      <rgbColor rgb="FFFF99CC"/>
      <rgbColor rgb="FFCC99FF"/>
      <rgbColor rgb="FFFFC7CE"/>
      <rgbColor rgb="FF2E75B6"/>
      <rgbColor rgb="FF33CCCC"/>
      <rgbColor rgb="FF99CC00"/>
      <rgbColor rgb="FFFFCC00"/>
      <rgbColor rgb="FFBF8F00"/>
      <rgbColor rgb="FFED7D31"/>
      <rgbColor rgb="FF666699"/>
      <rgbColor rgb="FF969696"/>
      <rgbColor rgb="FF1F3864"/>
      <rgbColor rgb="FF339966"/>
      <rgbColor rgb="FF003300"/>
      <rgbColor rgb="FF333300"/>
      <rgbColor rgb="FFC55A11"/>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hyperlink" Target="KQ-test\TC-21-03.png" TargetMode="External"/><Relationship Id="rId2" Type="http://schemas.openxmlformats.org/officeDocument/2006/relationships/hyperlink" Target="KQ-test\TC-21-02.pdf" TargetMode="External"/><Relationship Id="rId1" Type="http://schemas.openxmlformats.org/officeDocument/2006/relationships/hyperlink" Target="KQ-test\TC-21-01.png" TargetMode="External"/><Relationship Id="rId5" Type="http://schemas.openxmlformats.org/officeDocument/2006/relationships/hyperlink" Target="KQ-test\TC-21-06.png" TargetMode="External"/><Relationship Id="rId4" Type="http://schemas.openxmlformats.org/officeDocument/2006/relationships/hyperlink" Target="KQ-test\TC-21-05.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G56"/>
  <sheetViews>
    <sheetView showGridLines="0" zoomScale="90" zoomScaleNormal="90" workbookViewId="0"/>
  </sheetViews>
  <sheetFormatPr defaultColWidth="8.7109375" defaultRowHeight="15" x14ac:dyDescent="0.25"/>
  <cols>
    <col min="1" max="1" width="26" customWidth="1"/>
    <col min="2" max="2" width="36" customWidth="1"/>
    <col min="3" max="3" width="16" customWidth="1"/>
    <col min="4" max="5" width="14" customWidth="1"/>
    <col min="6" max="6" width="26" customWidth="1"/>
    <col min="7" max="7" width="12" customWidth="1"/>
  </cols>
  <sheetData>
    <row r="1" spans="1:7" ht="18" x14ac:dyDescent="0.25">
      <c r="A1" s="3" t="s">
        <v>0</v>
      </c>
    </row>
    <row r="2" spans="1:7" x14ac:dyDescent="0.25">
      <c r="A2" s="4" t="s">
        <v>1</v>
      </c>
    </row>
    <row r="4" spans="1:7" x14ac:dyDescent="0.25">
      <c r="A4" s="5" t="s">
        <v>2</v>
      </c>
      <c r="B4" s="6"/>
      <c r="C4" s="6"/>
      <c r="D4" s="6"/>
      <c r="E4" s="6"/>
      <c r="F4" s="6"/>
      <c r="G4" s="6"/>
    </row>
    <row r="5" spans="1:7" ht="16.5" customHeight="1" x14ac:dyDescent="0.25">
      <c r="A5" s="7" t="s">
        <v>3</v>
      </c>
      <c r="B5" s="22" t="s">
        <v>4</v>
      </c>
      <c r="C5" s="22"/>
      <c r="D5" s="22"/>
      <c r="E5" s="22"/>
      <c r="F5" s="22"/>
      <c r="G5" s="22"/>
    </row>
    <row r="6" spans="1:7" ht="16.5" customHeight="1" x14ac:dyDescent="0.25">
      <c r="A6" s="7" t="s">
        <v>5</v>
      </c>
      <c r="B6" s="22" t="s">
        <v>6</v>
      </c>
      <c r="C6" s="22"/>
      <c r="D6" s="22"/>
      <c r="E6" s="22"/>
      <c r="F6" s="22"/>
      <c r="G6" s="22"/>
    </row>
    <row r="7" spans="1:7" ht="16.5" customHeight="1" x14ac:dyDescent="0.25">
      <c r="A7" s="7" t="s">
        <v>7</v>
      </c>
      <c r="B7" s="22" t="s">
        <v>8</v>
      </c>
      <c r="C7" s="22"/>
      <c r="D7" s="22"/>
      <c r="E7" s="22"/>
      <c r="F7" s="22"/>
      <c r="G7" s="22"/>
    </row>
    <row r="8" spans="1:7" ht="43.5" customHeight="1" x14ac:dyDescent="0.25">
      <c r="A8" s="7" t="s">
        <v>9</v>
      </c>
      <c r="B8" s="22" t="s">
        <v>10</v>
      </c>
      <c r="C8" s="22"/>
      <c r="D8" s="22"/>
      <c r="E8" s="22"/>
      <c r="F8" s="22"/>
      <c r="G8" s="22"/>
    </row>
    <row r="9" spans="1:7" ht="30" customHeight="1" x14ac:dyDescent="0.25">
      <c r="A9" s="7" t="s">
        <v>11</v>
      </c>
      <c r="B9" s="22" t="s">
        <v>12</v>
      </c>
      <c r="C9" s="22"/>
      <c r="D9" s="22"/>
      <c r="E9" s="22"/>
      <c r="F9" s="22"/>
      <c r="G9" s="22"/>
    </row>
    <row r="11" spans="1:7" x14ac:dyDescent="0.25">
      <c r="A11" s="5" t="s">
        <v>13</v>
      </c>
      <c r="B11" s="6"/>
      <c r="C11" s="6"/>
      <c r="D11" s="6"/>
      <c r="E11" s="6"/>
      <c r="F11" s="6"/>
      <c r="G11" s="6"/>
    </row>
    <row r="12" spans="1:7" x14ac:dyDescent="0.25">
      <c r="A12" s="8" t="s">
        <v>14</v>
      </c>
      <c r="B12" s="8" t="s">
        <v>15</v>
      </c>
      <c r="C12" s="8" t="s">
        <v>16</v>
      </c>
      <c r="D12" s="8" t="s">
        <v>17</v>
      </c>
      <c r="E12" s="8" t="s">
        <v>18</v>
      </c>
      <c r="F12" s="8" t="s">
        <v>19</v>
      </c>
      <c r="G12" s="8" t="s">
        <v>20</v>
      </c>
    </row>
    <row r="13" spans="1:7" ht="16.5" customHeight="1" x14ac:dyDescent="0.25">
      <c r="A13" s="9" t="s">
        <v>21</v>
      </c>
      <c r="B13" s="2" t="s">
        <v>22</v>
      </c>
      <c r="C13" s="10" t="s">
        <v>23</v>
      </c>
      <c r="D13" s="10" t="s">
        <v>24</v>
      </c>
      <c r="E13" s="10" t="s">
        <v>24</v>
      </c>
      <c r="F13" s="10" t="s">
        <v>25</v>
      </c>
      <c r="G13" s="10">
        <f>COUNTIF('Test Case'!$B:$B,A13)</f>
        <v>11</v>
      </c>
    </row>
    <row r="14" spans="1:7" ht="16.5" customHeight="1" x14ac:dyDescent="0.25">
      <c r="A14" s="9" t="s">
        <v>26</v>
      </c>
      <c r="B14" s="2" t="s">
        <v>27</v>
      </c>
      <c r="C14" s="10" t="s">
        <v>28</v>
      </c>
      <c r="D14" s="10" t="s">
        <v>29</v>
      </c>
      <c r="E14" s="10" t="s">
        <v>24</v>
      </c>
      <c r="F14" s="10" t="s">
        <v>25</v>
      </c>
      <c r="G14" s="10">
        <f>COUNTIF('Test Case'!$B:$B,A14)</f>
        <v>11</v>
      </c>
    </row>
    <row r="15" spans="1:7" ht="30" customHeight="1" x14ac:dyDescent="0.25">
      <c r="A15" s="9" t="s">
        <v>30</v>
      </c>
      <c r="B15" s="2" t="s">
        <v>31</v>
      </c>
      <c r="C15" s="10" t="s">
        <v>28</v>
      </c>
      <c r="D15" s="10" t="s">
        <v>29</v>
      </c>
      <c r="E15" s="10" t="s">
        <v>24</v>
      </c>
      <c r="F15" s="10" t="s">
        <v>25</v>
      </c>
      <c r="G15" s="10">
        <f>COUNTIF('Test Case'!$B:$B,A15)</f>
        <v>13</v>
      </c>
    </row>
    <row r="16" spans="1:7" ht="30" customHeight="1" x14ac:dyDescent="0.25">
      <c r="A16" s="9" t="s">
        <v>32</v>
      </c>
      <c r="B16" s="2" t="s">
        <v>33</v>
      </c>
      <c r="C16" s="10" t="s">
        <v>34</v>
      </c>
      <c r="D16" s="10" t="s">
        <v>29</v>
      </c>
      <c r="E16" s="10" t="s">
        <v>24</v>
      </c>
      <c r="F16" s="10" t="s">
        <v>25</v>
      </c>
      <c r="G16" s="10">
        <f>COUNTIF('Test Case'!$B:$B,A16)</f>
        <v>11</v>
      </c>
    </row>
    <row r="17" spans="1:7" ht="16.5" customHeight="1" x14ac:dyDescent="0.25">
      <c r="A17" s="9" t="s">
        <v>35</v>
      </c>
      <c r="B17" s="2" t="s">
        <v>36</v>
      </c>
      <c r="C17" s="10" t="s">
        <v>37</v>
      </c>
      <c r="D17" s="10" t="s">
        <v>38</v>
      </c>
      <c r="E17" s="10" t="s">
        <v>38</v>
      </c>
      <c r="F17" s="10" t="s">
        <v>39</v>
      </c>
      <c r="G17" s="10">
        <f>COUNTIF('Test Case'!$B:$B,A17)</f>
        <v>5</v>
      </c>
    </row>
    <row r="18" spans="1:7" ht="16.5" customHeight="1" x14ac:dyDescent="0.25">
      <c r="A18" s="9" t="s">
        <v>40</v>
      </c>
      <c r="B18" s="2" t="s">
        <v>41</v>
      </c>
      <c r="C18" s="10" t="s">
        <v>37</v>
      </c>
      <c r="D18" s="10" t="s">
        <v>38</v>
      </c>
      <c r="E18" s="10" t="s">
        <v>38</v>
      </c>
      <c r="F18" s="10" t="s">
        <v>39</v>
      </c>
      <c r="G18" s="10">
        <f>COUNTIF('Test Case'!$B:$B,A18)</f>
        <v>6</v>
      </c>
    </row>
    <row r="19" spans="1:7" ht="16.5" customHeight="1" x14ac:dyDescent="0.25">
      <c r="A19" s="9" t="s">
        <v>42</v>
      </c>
      <c r="B19" s="2" t="s">
        <v>43</v>
      </c>
      <c r="C19" s="10" t="s">
        <v>37</v>
      </c>
      <c r="D19" s="10" t="s">
        <v>38</v>
      </c>
      <c r="E19" s="10" t="s">
        <v>38</v>
      </c>
      <c r="F19" s="10" t="s">
        <v>39</v>
      </c>
      <c r="G19" s="10">
        <f>COUNTIF('Test Case'!$B:$B,A19)</f>
        <v>5</v>
      </c>
    </row>
    <row r="20" spans="1:7" ht="16.5" customHeight="1" x14ac:dyDescent="0.25">
      <c r="A20" s="9" t="s">
        <v>44</v>
      </c>
      <c r="B20" s="2" t="s">
        <v>45</v>
      </c>
      <c r="C20" s="10" t="s">
        <v>34</v>
      </c>
      <c r="D20" s="10" t="s">
        <v>29</v>
      </c>
      <c r="E20" s="10" t="s">
        <v>24</v>
      </c>
      <c r="F20" s="10" t="s">
        <v>39</v>
      </c>
      <c r="G20" s="10">
        <f>COUNTIF('Test Case'!$B:$B,A20)</f>
        <v>6</v>
      </c>
    </row>
    <row r="22" spans="1:7" x14ac:dyDescent="0.25">
      <c r="A22" s="5" t="s">
        <v>46</v>
      </c>
      <c r="B22" s="6"/>
      <c r="C22" s="6"/>
      <c r="D22" s="6"/>
      <c r="E22" s="6"/>
      <c r="F22" s="6"/>
      <c r="G22" s="6"/>
    </row>
    <row r="23" spans="1:7" ht="16.5" customHeight="1" x14ac:dyDescent="0.25">
      <c r="A23" s="7" t="s">
        <v>47</v>
      </c>
      <c r="B23" s="23" t="s">
        <v>48</v>
      </c>
      <c r="C23" s="23"/>
      <c r="D23" s="23"/>
      <c r="E23" s="23"/>
      <c r="F23" s="23"/>
      <c r="G23" s="23"/>
    </row>
    <row r="24" spans="1:7" ht="16.5" customHeight="1" x14ac:dyDescent="0.25">
      <c r="A24" s="7" t="s">
        <v>49</v>
      </c>
      <c r="B24" s="23" t="s">
        <v>50</v>
      </c>
      <c r="C24" s="23"/>
      <c r="D24" s="23"/>
      <c r="E24" s="23"/>
      <c r="F24" s="23"/>
      <c r="G24" s="23"/>
    </row>
    <row r="25" spans="1:7" ht="30" customHeight="1" x14ac:dyDescent="0.25">
      <c r="A25" s="7" t="s">
        <v>51</v>
      </c>
      <c r="B25" s="22" t="s">
        <v>52</v>
      </c>
      <c r="C25" s="22"/>
      <c r="D25" s="22"/>
      <c r="E25" s="22"/>
      <c r="F25" s="22"/>
      <c r="G25" s="22"/>
    </row>
    <row r="26" spans="1:7" ht="16.5" customHeight="1" x14ac:dyDescent="0.25">
      <c r="A26" s="7" t="s">
        <v>53</v>
      </c>
      <c r="B26" s="22" t="s">
        <v>54</v>
      </c>
      <c r="C26" s="22"/>
      <c r="D26" s="22"/>
      <c r="E26" s="22"/>
      <c r="F26" s="22"/>
      <c r="G26" s="22"/>
    </row>
    <row r="27" spans="1:7" ht="16.5" customHeight="1" x14ac:dyDescent="0.25">
      <c r="A27" s="7" t="s">
        <v>55</v>
      </c>
      <c r="B27" s="23" t="s">
        <v>56</v>
      </c>
      <c r="C27" s="23"/>
      <c r="D27" s="23"/>
      <c r="E27" s="23"/>
      <c r="F27" s="23"/>
      <c r="G27" s="23"/>
    </row>
    <row r="28" spans="1:7" ht="16.5" customHeight="1" x14ac:dyDescent="0.25">
      <c r="A28" s="7" t="s">
        <v>57</v>
      </c>
      <c r="B28" s="23" t="s">
        <v>58</v>
      </c>
      <c r="C28" s="23"/>
      <c r="D28" s="23"/>
      <c r="E28" s="23"/>
      <c r="F28" s="23"/>
      <c r="G28" s="23"/>
    </row>
    <row r="30" spans="1:7" x14ac:dyDescent="0.25">
      <c r="A30" s="5" t="s">
        <v>59</v>
      </c>
      <c r="B30" s="6"/>
      <c r="C30" s="6"/>
      <c r="D30" s="6"/>
      <c r="E30" s="6"/>
      <c r="F30" s="6"/>
      <c r="G30" s="6"/>
    </row>
    <row r="31" spans="1:7" ht="15" customHeight="1" x14ac:dyDescent="0.25">
      <c r="A31" s="8" t="s">
        <v>60</v>
      </c>
      <c r="B31" s="8" t="s">
        <v>61</v>
      </c>
      <c r="C31" s="24" t="s">
        <v>62</v>
      </c>
      <c r="D31" s="24"/>
      <c r="E31" s="24"/>
      <c r="F31" s="24"/>
      <c r="G31" s="24"/>
    </row>
    <row r="32" spans="1:7" ht="15" customHeight="1" x14ac:dyDescent="0.25">
      <c r="A32" s="7" t="s">
        <v>63</v>
      </c>
      <c r="B32" s="2" t="s">
        <v>64</v>
      </c>
      <c r="C32" s="22" t="s">
        <v>65</v>
      </c>
      <c r="D32" s="22"/>
      <c r="E32" s="22"/>
      <c r="F32" s="22"/>
      <c r="G32" s="22"/>
    </row>
    <row r="33" spans="1:7" ht="15" customHeight="1" x14ac:dyDescent="0.25">
      <c r="A33" s="7" t="s">
        <v>66</v>
      </c>
      <c r="B33" s="2" t="s">
        <v>67</v>
      </c>
      <c r="C33" s="22" t="s">
        <v>68</v>
      </c>
      <c r="D33" s="22"/>
      <c r="E33" s="22"/>
      <c r="F33" s="22"/>
      <c r="G33" s="22"/>
    </row>
    <row r="34" spans="1:7" ht="15" customHeight="1" x14ac:dyDescent="0.25">
      <c r="A34" s="7" t="s">
        <v>69</v>
      </c>
      <c r="B34" s="2" t="s">
        <v>67</v>
      </c>
      <c r="C34" s="22" t="s">
        <v>70</v>
      </c>
      <c r="D34" s="22"/>
      <c r="E34" s="22"/>
      <c r="F34" s="22"/>
      <c r="G34" s="22"/>
    </row>
    <row r="35" spans="1:7" ht="15" customHeight="1" x14ac:dyDescent="0.25">
      <c r="A35" s="7" t="s">
        <v>71</v>
      </c>
      <c r="B35" s="2" t="s">
        <v>72</v>
      </c>
      <c r="C35" s="22" t="s">
        <v>73</v>
      </c>
      <c r="D35" s="22"/>
      <c r="E35" s="22"/>
      <c r="F35" s="22"/>
      <c r="G35" s="22"/>
    </row>
    <row r="36" spans="1:7" ht="15" customHeight="1" x14ac:dyDescent="0.25">
      <c r="A36" s="7" t="s">
        <v>74</v>
      </c>
      <c r="B36" s="2" t="s">
        <v>75</v>
      </c>
      <c r="C36" s="22" t="s">
        <v>76</v>
      </c>
      <c r="D36" s="22"/>
      <c r="E36" s="22"/>
      <c r="F36" s="22"/>
      <c r="G36" s="22"/>
    </row>
    <row r="38" spans="1:7" x14ac:dyDescent="0.25">
      <c r="A38" s="5" t="s">
        <v>77</v>
      </c>
      <c r="B38" s="6"/>
      <c r="C38" s="6"/>
      <c r="D38" s="6"/>
      <c r="E38" s="6"/>
      <c r="F38" s="6"/>
      <c r="G38" s="6"/>
    </row>
    <row r="39" spans="1:7" ht="43.5" customHeight="1" x14ac:dyDescent="0.25">
      <c r="A39" s="7" t="s">
        <v>78</v>
      </c>
      <c r="B39" s="22" t="s">
        <v>79</v>
      </c>
      <c r="C39" s="22"/>
      <c r="D39" s="22"/>
      <c r="E39" s="22"/>
      <c r="F39" s="22"/>
      <c r="G39" s="22"/>
    </row>
    <row r="40" spans="1:7" ht="43.5" customHeight="1" x14ac:dyDescent="0.25">
      <c r="A40" s="7" t="s">
        <v>80</v>
      </c>
      <c r="B40" s="22" t="s">
        <v>81</v>
      </c>
      <c r="C40" s="22"/>
      <c r="D40" s="22"/>
      <c r="E40" s="22"/>
      <c r="F40" s="22"/>
      <c r="G40" s="22"/>
    </row>
    <row r="41" spans="1:7" ht="16.5" customHeight="1" x14ac:dyDescent="0.25">
      <c r="A41" s="7" t="s">
        <v>82</v>
      </c>
      <c r="B41" s="22" t="s">
        <v>83</v>
      </c>
      <c r="C41" s="22"/>
      <c r="D41" s="22"/>
      <c r="E41" s="22"/>
      <c r="F41" s="22"/>
      <c r="G41" s="22"/>
    </row>
    <row r="42" spans="1:7" ht="43.5" customHeight="1" x14ac:dyDescent="0.25">
      <c r="A42" s="7" t="s">
        <v>84</v>
      </c>
      <c r="B42" s="22" t="s">
        <v>85</v>
      </c>
      <c r="C42" s="22"/>
      <c r="D42" s="22"/>
      <c r="E42" s="22"/>
      <c r="F42" s="22"/>
      <c r="G42" s="22"/>
    </row>
    <row r="44" spans="1:7" x14ac:dyDescent="0.25">
      <c r="A44" s="5" t="s">
        <v>86</v>
      </c>
      <c r="B44" s="6"/>
      <c r="C44" s="6"/>
      <c r="D44" s="6"/>
      <c r="E44" s="6"/>
      <c r="F44" s="6"/>
      <c r="G44" s="6"/>
    </row>
    <row r="45" spans="1:7" ht="30" customHeight="1" x14ac:dyDescent="0.25">
      <c r="A45" s="7" t="s">
        <v>87</v>
      </c>
      <c r="B45" s="22" t="s">
        <v>88</v>
      </c>
      <c r="C45" s="22"/>
      <c r="D45" s="22"/>
      <c r="E45" s="22"/>
      <c r="F45" s="22"/>
      <c r="G45" s="22"/>
    </row>
    <row r="46" spans="1:7" ht="30" customHeight="1" x14ac:dyDescent="0.25">
      <c r="A46" s="7" t="s">
        <v>89</v>
      </c>
      <c r="B46" s="22" t="s">
        <v>90</v>
      </c>
      <c r="C46" s="22"/>
      <c r="D46" s="22"/>
      <c r="E46" s="22"/>
      <c r="F46" s="22"/>
      <c r="G46" s="22"/>
    </row>
    <row r="47" spans="1:7" ht="43.5" customHeight="1" x14ac:dyDescent="0.25">
      <c r="A47" s="7" t="s">
        <v>91</v>
      </c>
      <c r="B47" s="22" t="s">
        <v>92</v>
      </c>
      <c r="C47" s="22"/>
      <c r="D47" s="22"/>
      <c r="E47" s="22"/>
      <c r="F47" s="22"/>
      <c r="G47" s="22"/>
    </row>
    <row r="48" spans="1:7" ht="30" customHeight="1" x14ac:dyDescent="0.25">
      <c r="A48" s="7" t="s">
        <v>93</v>
      </c>
      <c r="B48" s="22" t="s">
        <v>94</v>
      </c>
      <c r="C48" s="22"/>
      <c r="D48" s="22"/>
      <c r="E48" s="22"/>
      <c r="F48" s="22"/>
      <c r="G48" s="22"/>
    </row>
    <row r="50" spans="1:7" x14ac:dyDescent="0.25">
      <c r="A50" s="5" t="s">
        <v>95</v>
      </c>
      <c r="B50" s="6"/>
      <c r="C50" s="6"/>
      <c r="D50" s="6"/>
      <c r="E50" s="6"/>
      <c r="F50" s="6"/>
      <c r="G50" s="6"/>
    </row>
    <row r="51" spans="1:7" ht="15" customHeight="1" x14ac:dyDescent="0.25">
      <c r="A51" s="7" t="s">
        <v>96</v>
      </c>
      <c r="B51" s="22" t="s">
        <v>97</v>
      </c>
      <c r="C51" s="22"/>
      <c r="D51" s="22"/>
      <c r="E51" s="22"/>
      <c r="F51" s="22"/>
      <c r="G51" s="22"/>
    </row>
    <row r="52" spans="1:7" ht="15" customHeight="1" x14ac:dyDescent="0.25">
      <c r="A52" s="7" t="s">
        <v>98</v>
      </c>
      <c r="B52" s="22" t="s">
        <v>99</v>
      </c>
      <c r="C52" s="22"/>
      <c r="D52" s="22"/>
      <c r="E52" s="22"/>
      <c r="F52" s="22"/>
      <c r="G52" s="22"/>
    </row>
    <row r="53" spans="1:7" ht="15" customHeight="1" x14ac:dyDescent="0.25">
      <c r="A53" s="7" t="s">
        <v>100</v>
      </c>
      <c r="B53" s="22" t="s">
        <v>101</v>
      </c>
      <c r="C53" s="22"/>
      <c r="D53" s="22"/>
      <c r="E53" s="22"/>
      <c r="F53" s="22"/>
      <c r="G53" s="22"/>
    </row>
    <row r="54" spans="1:7" ht="15" customHeight="1" x14ac:dyDescent="0.25">
      <c r="A54" s="7" t="s">
        <v>102</v>
      </c>
      <c r="B54" s="22" t="s">
        <v>103</v>
      </c>
      <c r="C54" s="22"/>
      <c r="D54" s="22"/>
      <c r="E54" s="22"/>
      <c r="F54" s="22"/>
      <c r="G54" s="22"/>
    </row>
    <row r="55" spans="1:7" ht="15" customHeight="1" x14ac:dyDescent="0.25">
      <c r="A55" s="7" t="s">
        <v>104</v>
      </c>
      <c r="B55" s="22" t="s">
        <v>105</v>
      </c>
      <c r="C55" s="22"/>
      <c r="D55" s="22"/>
      <c r="E55" s="22"/>
      <c r="F55" s="22"/>
      <c r="G55" s="22"/>
    </row>
    <row r="56" spans="1:7" ht="15" customHeight="1" x14ac:dyDescent="0.25">
      <c r="A56" s="7" t="s">
        <v>106</v>
      </c>
      <c r="B56" s="22" t="s">
        <v>107</v>
      </c>
      <c r="C56" s="22"/>
      <c r="D56" s="22"/>
      <c r="E56" s="22"/>
      <c r="F56" s="22"/>
      <c r="G56" s="22"/>
    </row>
  </sheetData>
  <mergeCells count="31">
    <mergeCell ref="B56:G56"/>
    <mergeCell ref="B51:G51"/>
    <mergeCell ref="B52:G52"/>
    <mergeCell ref="B53:G53"/>
    <mergeCell ref="B54:G54"/>
    <mergeCell ref="B55:G55"/>
    <mergeCell ref="B42:G42"/>
    <mergeCell ref="B45:G45"/>
    <mergeCell ref="B46:G46"/>
    <mergeCell ref="B47:G47"/>
    <mergeCell ref="B48:G48"/>
    <mergeCell ref="C35:G35"/>
    <mergeCell ref="C36:G36"/>
    <mergeCell ref="B39:G39"/>
    <mergeCell ref="B40:G40"/>
    <mergeCell ref="B41:G41"/>
    <mergeCell ref="B28:G28"/>
    <mergeCell ref="C31:G31"/>
    <mergeCell ref="C32:G32"/>
    <mergeCell ref="C33:G33"/>
    <mergeCell ref="C34:G34"/>
    <mergeCell ref="B23:G23"/>
    <mergeCell ref="B24:G24"/>
    <mergeCell ref="B25:G25"/>
    <mergeCell ref="B26:G26"/>
    <mergeCell ref="B27:G27"/>
    <mergeCell ref="B5:G5"/>
    <mergeCell ref="B6:G6"/>
    <mergeCell ref="B7:G7"/>
    <mergeCell ref="B8:G8"/>
    <mergeCell ref="B9:G9"/>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BF8F00"/>
  </sheetPr>
  <dimension ref="A1:D21"/>
  <sheetViews>
    <sheetView zoomScale="90" zoomScaleNormal="90" workbookViewId="0">
      <pane xSplit="1" ySplit="2" topLeftCell="B3" activePane="bottomRight" state="frozen"/>
      <selection pane="topRight" activeCell="B1" sqref="B1"/>
      <selection pane="bottomLeft" activeCell="A3" sqref="A3"/>
      <selection pane="bottomRight"/>
    </sheetView>
  </sheetViews>
  <sheetFormatPr defaultColWidth="8.7109375" defaultRowHeight="15" x14ac:dyDescent="0.25"/>
  <cols>
    <col min="1" max="1" width="18" customWidth="1"/>
    <col min="2" max="2" width="52" customWidth="1"/>
    <col min="3" max="3" width="34" customWidth="1"/>
    <col min="4" max="4" width="60" customWidth="1"/>
  </cols>
  <sheetData>
    <row r="1" spans="1:4" x14ac:dyDescent="0.25">
      <c r="A1" s="4" t="s">
        <v>108</v>
      </c>
    </row>
    <row r="2" spans="1:4" ht="31.5" customHeight="1" x14ac:dyDescent="0.25">
      <c r="A2" s="8" t="s">
        <v>109</v>
      </c>
      <c r="B2" s="8" t="s">
        <v>110</v>
      </c>
      <c r="C2" s="8" t="s">
        <v>111</v>
      </c>
      <c r="D2" s="8" t="s">
        <v>112</v>
      </c>
    </row>
    <row r="3" spans="1:4" ht="25.5" x14ac:dyDescent="0.25">
      <c r="A3" s="11" t="s">
        <v>113</v>
      </c>
      <c r="B3" s="2" t="s">
        <v>114</v>
      </c>
      <c r="C3" s="2" t="s">
        <v>115</v>
      </c>
      <c r="D3" s="2" t="s">
        <v>116</v>
      </c>
    </row>
    <row r="4" spans="1:4" x14ac:dyDescent="0.25">
      <c r="A4" s="11" t="s">
        <v>117</v>
      </c>
      <c r="B4" s="2" t="s">
        <v>118</v>
      </c>
      <c r="C4" s="2" t="s">
        <v>119</v>
      </c>
      <c r="D4" s="2"/>
    </row>
    <row r="5" spans="1:4" x14ac:dyDescent="0.25">
      <c r="A5" s="11" t="s">
        <v>120</v>
      </c>
      <c r="B5" s="2" t="s">
        <v>121</v>
      </c>
      <c r="C5" s="2" t="s">
        <v>122</v>
      </c>
      <c r="D5" s="2"/>
    </row>
    <row r="6" spans="1:4" x14ac:dyDescent="0.25">
      <c r="A6" s="11" t="s">
        <v>123</v>
      </c>
      <c r="B6" s="2" t="s">
        <v>124</v>
      </c>
      <c r="C6" s="2" t="s">
        <v>125</v>
      </c>
      <c r="D6" s="2" t="s">
        <v>126</v>
      </c>
    </row>
    <row r="7" spans="1:4" x14ac:dyDescent="0.25">
      <c r="A7" s="11" t="s">
        <v>127</v>
      </c>
      <c r="B7" s="2" t="s">
        <v>128</v>
      </c>
      <c r="C7" s="2" t="s">
        <v>129</v>
      </c>
      <c r="D7" s="2" t="s">
        <v>130</v>
      </c>
    </row>
    <row r="8" spans="1:4" x14ac:dyDescent="0.25">
      <c r="A8" s="11" t="s">
        <v>131</v>
      </c>
      <c r="B8" s="2" t="s">
        <v>132</v>
      </c>
      <c r="C8" s="2" t="s">
        <v>133</v>
      </c>
      <c r="D8" s="2" t="s">
        <v>134</v>
      </c>
    </row>
    <row r="9" spans="1:4" ht="25.5" x14ac:dyDescent="0.25">
      <c r="A9" s="11" t="s">
        <v>135</v>
      </c>
      <c r="B9" s="2" t="s">
        <v>136</v>
      </c>
      <c r="C9" s="2" t="s">
        <v>137</v>
      </c>
      <c r="D9" s="2"/>
    </row>
    <row r="10" spans="1:4" ht="25.5" x14ac:dyDescent="0.25">
      <c r="A10" s="11" t="s">
        <v>138</v>
      </c>
      <c r="B10" s="2" t="s">
        <v>139</v>
      </c>
      <c r="C10" s="2" t="s">
        <v>140</v>
      </c>
      <c r="D10" s="2"/>
    </row>
    <row r="11" spans="1:4" ht="38.25" x14ac:dyDescent="0.25">
      <c r="A11" s="11" t="s">
        <v>141</v>
      </c>
      <c r="B11" s="2" t="s">
        <v>142</v>
      </c>
      <c r="C11" s="2" t="s">
        <v>143</v>
      </c>
      <c r="D11" s="2" t="s">
        <v>144</v>
      </c>
    </row>
    <row r="12" spans="1:4" x14ac:dyDescent="0.25">
      <c r="A12" s="11" t="s">
        <v>145</v>
      </c>
      <c r="B12" s="2" t="s">
        <v>146</v>
      </c>
      <c r="C12" s="2" t="s">
        <v>147</v>
      </c>
      <c r="D12" s="2" t="s">
        <v>148</v>
      </c>
    </row>
    <row r="13" spans="1:4" x14ac:dyDescent="0.25">
      <c r="A13" s="11" t="s">
        <v>149</v>
      </c>
      <c r="B13" s="2" t="s">
        <v>150</v>
      </c>
      <c r="C13" s="2" t="s">
        <v>151</v>
      </c>
      <c r="D13" s="2" t="s">
        <v>152</v>
      </c>
    </row>
    <row r="14" spans="1:4" x14ac:dyDescent="0.25">
      <c r="A14" s="11" t="s">
        <v>153</v>
      </c>
      <c r="B14" s="2" t="s">
        <v>154</v>
      </c>
      <c r="C14" s="2" t="s">
        <v>155</v>
      </c>
      <c r="D14" s="2"/>
    </row>
    <row r="15" spans="1:4" x14ac:dyDescent="0.25">
      <c r="A15" s="11" t="s">
        <v>156</v>
      </c>
      <c r="B15" s="2" t="s">
        <v>157</v>
      </c>
      <c r="C15" s="2" t="s">
        <v>158</v>
      </c>
      <c r="D15" s="2" t="s">
        <v>159</v>
      </c>
    </row>
    <row r="16" spans="1:4" ht="25.5" x14ac:dyDescent="0.25">
      <c r="A16" s="11" t="s">
        <v>160</v>
      </c>
      <c r="B16" s="2" t="s">
        <v>161</v>
      </c>
      <c r="C16" s="2" t="s">
        <v>162</v>
      </c>
      <c r="D16" s="2" t="s">
        <v>163</v>
      </c>
    </row>
    <row r="17" spans="1:4" ht="25.5" x14ac:dyDescent="0.25">
      <c r="A17" s="11" t="s">
        <v>164</v>
      </c>
      <c r="B17" s="2" t="s">
        <v>165</v>
      </c>
      <c r="C17" s="2" t="s">
        <v>166</v>
      </c>
      <c r="D17" s="2" t="s">
        <v>167</v>
      </c>
    </row>
    <row r="18" spans="1:4" ht="25.5" x14ac:dyDescent="0.25">
      <c r="A18" s="11" t="s">
        <v>168</v>
      </c>
      <c r="B18" s="2" t="s">
        <v>169</v>
      </c>
      <c r="C18" s="2" t="s">
        <v>170</v>
      </c>
      <c r="D18" s="2" t="s">
        <v>171</v>
      </c>
    </row>
    <row r="19" spans="1:4" ht="25.5" x14ac:dyDescent="0.25">
      <c r="A19" s="11" t="s">
        <v>172</v>
      </c>
      <c r="B19" s="2" t="s">
        <v>173</v>
      </c>
      <c r="C19" s="2" t="s">
        <v>174</v>
      </c>
      <c r="D19" s="2" t="s">
        <v>175</v>
      </c>
    </row>
    <row r="20" spans="1:4" ht="25.5" x14ac:dyDescent="0.25">
      <c r="A20" s="11" t="s">
        <v>176</v>
      </c>
      <c r="B20" s="2" t="s">
        <v>177</v>
      </c>
      <c r="C20" s="2" t="s">
        <v>178</v>
      </c>
      <c r="D20" s="2" t="s">
        <v>179</v>
      </c>
    </row>
    <row r="21" spans="1:4" ht="38.25" x14ac:dyDescent="0.25">
      <c r="A21" s="11" t="s">
        <v>180</v>
      </c>
      <c r="B21" s="2" t="s">
        <v>181</v>
      </c>
      <c r="C21" s="2" t="s">
        <v>182</v>
      </c>
      <c r="D21" s="2" t="s">
        <v>183</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30A0"/>
  </sheetPr>
  <dimension ref="A1:C13"/>
  <sheetViews>
    <sheetView zoomScale="90" zoomScaleNormal="90" workbookViewId="0">
      <pane xSplit="1" ySplit="2" topLeftCell="B3" activePane="bottomRight" state="frozen"/>
      <selection pane="topRight" activeCell="B1" sqref="B1"/>
      <selection pane="bottomLeft" activeCell="A3" sqref="A3"/>
      <selection pane="bottomRight"/>
    </sheetView>
  </sheetViews>
  <sheetFormatPr defaultColWidth="8.7109375" defaultRowHeight="15" x14ac:dyDescent="0.25"/>
  <cols>
    <col min="1" max="1" width="38" customWidth="1"/>
    <col min="2" max="2" width="110" customWidth="1"/>
    <col min="3" max="3" width="34" customWidth="1"/>
  </cols>
  <sheetData>
    <row r="1" spans="1:3" x14ac:dyDescent="0.25">
      <c r="A1" s="4" t="s">
        <v>184</v>
      </c>
    </row>
    <row r="2" spans="1:3" ht="31.5" customHeight="1" x14ac:dyDescent="0.25">
      <c r="A2" s="8" t="s">
        <v>185</v>
      </c>
      <c r="B2" s="8" t="s">
        <v>186</v>
      </c>
      <c r="C2" s="8" t="s">
        <v>187</v>
      </c>
    </row>
    <row r="3" spans="1:3" ht="25.5" x14ac:dyDescent="0.25">
      <c r="A3" s="11" t="s">
        <v>188</v>
      </c>
      <c r="B3" s="2" t="s">
        <v>189</v>
      </c>
      <c r="C3" s="2" t="s">
        <v>190</v>
      </c>
    </row>
    <row r="4" spans="1:3" ht="25.5" x14ac:dyDescent="0.25">
      <c r="A4" s="11" t="s">
        <v>191</v>
      </c>
      <c r="B4" s="2" t="s">
        <v>192</v>
      </c>
      <c r="C4" s="2" t="s">
        <v>193</v>
      </c>
    </row>
    <row r="5" spans="1:3" ht="25.5" x14ac:dyDescent="0.25">
      <c r="A5" s="11" t="s">
        <v>194</v>
      </c>
      <c r="B5" s="2" t="s">
        <v>195</v>
      </c>
      <c r="C5" s="2" t="s">
        <v>196</v>
      </c>
    </row>
    <row r="6" spans="1:3" x14ac:dyDescent="0.25">
      <c r="A6" s="11" t="s">
        <v>197</v>
      </c>
      <c r="B6" s="2" t="s">
        <v>198</v>
      </c>
      <c r="C6" s="2" t="s">
        <v>199</v>
      </c>
    </row>
    <row r="7" spans="1:3" x14ac:dyDescent="0.25">
      <c r="A7" s="11" t="s">
        <v>200</v>
      </c>
      <c r="B7" s="2" t="s">
        <v>201</v>
      </c>
      <c r="C7" s="2" t="s">
        <v>21</v>
      </c>
    </row>
    <row r="8" spans="1:3" x14ac:dyDescent="0.25">
      <c r="A8" s="11" t="s">
        <v>202</v>
      </c>
      <c r="B8" s="2" t="s">
        <v>203</v>
      </c>
      <c r="C8" s="2" t="s">
        <v>204</v>
      </c>
    </row>
    <row r="9" spans="1:3" x14ac:dyDescent="0.25">
      <c r="A9" s="11" t="s">
        <v>205</v>
      </c>
      <c r="B9" s="2" t="s">
        <v>206</v>
      </c>
      <c r="C9" s="2" t="s">
        <v>207</v>
      </c>
    </row>
    <row r="10" spans="1:3" x14ac:dyDescent="0.25">
      <c r="A10" s="11" t="s">
        <v>208</v>
      </c>
      <c r="B10" s="2" t="s">
        <v>209</v>
      </c>
      <c r="C10" s="2" t="s">
        <v>210</v>
      </c>
    </row>
    <row r="11" spans="1:3" x14ac:dyDescent="0.25">
      <c r="A11" s="11" t="s">
        <v>211</v>
      </c>
      <c r="B11" s="2" t="s">
        <v>212</v>
      </c>
      <c r="C11" s="2" t="s">
        <v>32</v>
      </c>
    </row>
    <row r="12" spans="1:3" x14ac:dyDescent="0.25">
      <c r="A12" s="11" t="s">
        <v>213</v>
      </c>
      <c r="B12" s="2" t="s">
        <v>214</v>
      </c>
      <c r="C12" s="2" t="s">
        <v>215</v>
      </c>
    </row>
    <row r="13" spans="1:3" x14ac:dyDescent="0.25">
      <c r="A13" s="11" t="s">
        <v>216</v>
      </c>
      <c r="B13" s="2" t="s">
        <v>217</v>
      </c>
      <c r="C13" s="2" t="s">
        <v>26</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N69"/>
  <sheetViews>
    <sheetView tabSelected="1" zoomScale="90" zoomScaleNormal="90" workbookViewId="0">
      <pane xSplit="3" ySplit="1" topLeftCell="J2" activePane="bottomRight" state="frozen"/>
      <selection pane="topRight" activeCell="D1" sqref="D1"/>
      <selection pane="bottomLeft" activeCell="A3" sqref="A3"/>
      <selection pane="bottomRight" activeCell="K7" sqref="K7"/>
    </sheetView>
  </sheetViews>
  <sheetFormatPr defaultColWidth="8.7109375" defaultRowHeight="15" x14ac:dyDescent="0.25"/>
  <cols>
    <col min="1" max="1" width="11" customWidth="1"/>
    <col min="2" max="2" width="8" customWidth="1"/>
    <col min="3" max="3" width="34" customWidth="1"/>
    <col min="4" max="4" width="15" customWidth="1"/>
    <col min="5" max="5" width="24" customWidth="1"/>
    <col min="6" max="6" width="30" customWidth="1"/>
    <col min="7" max="7" width="9" customWidth="1"/>
    <col min="8" max="8" width="32" customWidth="1"/>
    <col min="9" max="9" width="34" customWidth="1"/>
    <col min="10" max="10" width="52" customWidth="1"/>
    <col min="11" max="11" width="49" customWidth="1"/>
    <col min="12" max="12" width="12" customWidth="1"/>
    <col min="13" max="13" width="20" customWidth="1"/>
    <col min="14" max="14" width="34" customWidth="1"/>
  </cols>
  <sheetData>
    <row r="1" spans="1:14" ht="31.5" customHeight="1" x14ac:dyDescent="0.25">
      <c r="A1" s="8" t="s">
        <v>218</v>
      </c>
      <c r="B1" s="8" t="s">
        <v>14</v>
      </c>
      <c r="C1" s="8" t="s">
        <v>219</v>
      </c>
      <c r="D1" s="8" t="s">
        <v>220</v>
      </c>
      <c r="E1" s="8" t="s">
        <v>221</v>
      </c>
      <c r="F1" s="8" t="s">
        <v>222</v>
      </c>
      <c r="G1" s="8" t="s">
        <v>223</v>
      </c>
      <c r="H1" s="8" t="s">
        <v>224</v>
      </c>
      <c r="I1" s="8" t="s">
        <v>225</v>
      </c>
      <c r="J1" s="8" t="s">
        <v>226</v>
      </c>
      <c r="K1" s="12" t="s">
        <v>227</v>
      </c>
      <c r="L1" s="12" t="s">
        <v>228</v>
      </c>
      <c r="M1" s="12" t="s">
        <v>229</v>
      </c>
      <c r="N1" s="8" t="s">
        <v>230</v>
      </c>
    </row>
    <row r="2" spans="1:14" ht="51" x14ac:dyDescent="0.25">
      <c r="A2" s="9" t="s">
        <v>231</v>
      </c>
      <c r="B2" s="10" t="s">
        <v>21</v>
      </c>
      <c r="C2" s="2" t="s">
        <v>232</v>
      </c>
      <c r="D2" s="2" t="s">
        <v>233</v>
      </c>
      <c r="E2" s="2" t="s">
        <v>234</v>
      </c>
      <c r="F2" s="2" t="s">
        <v>235</v>
      </c>
      <c r="G2" s="10" t="s">
        <v>236</v>
      </c>
      <c r="H2" s="2" t="s">
        <v>237</v>
      </c>
      <c r="I2" s="2" t="s">
        <v>238</v>
      </c>
      <c r="J2" s="2" t="s">
        <v>239</v>
      </c>
      <c r="K2" s="2" t="s">
        <v>764</v>
      </c>
      <c r="L2" s="10" t="s">
        <v>765</v>
      </c>
      <c r="M2" s="21" t="s">
        <v>766</v>
      </c>
      <c r="N2" s="2"/>
    </row>
    <row r="3" spans="1:14" ht="38.25" x14ac:dyDescent="0.25">
      <c r="A3" s="9" t="s">
        <v>241</v>
      </c>
      <c r="B3" s="10" t="s">
        <v>21</v>
      </c>
      <c r="C3" s="2" t="s">
        <v>242</v>
      </c>
      <c r="D3" s="2" t="s">
        <v>233</v>
      </c>
      <c r="E3" s="2" t="s">
        <v>234</v>
      </c>
      <c r="F3" s="2" t="s">
        <v>243</v>
      </c>
      <c r="G3" s="10" t="s">
        <v>236</v>
      </c>
      <c r="H3" s="2" t="s">
        <v>244</v>
      </c>
      <c r="I3" s="2" t="s">
        <v>245</v>
      </c>
      <c r="J3" s="2" t="s">
        <v>246</v>
      </c>
      <c r="K3" s="2" t="s">
        <v>767</v>
      </c>
      <c r="L3" s="10" t="s">
        <v>765</v>
      </c>
      <c r="M3" s="21" t="s">
        <v>768</v>
      </c>
      <c r="N3" s="2" t="s">
        <v>247</v>
      </c>
    </row>
    <row r="4" spans="1:14" ht="51" x14ac:dyDescent="0.25">
      <c r="A4" s="9" t="s">
        <v>248</v>
      </c>
      <c r="B4" s="10" t="s">
        <v>21</v>
      </c>
      <c r="C4" s="2" t="s">
        <v>249</v>
      </c>
      <c r="D4" s="2" t="s">
        <v>250</v>
      </c>
      <c r="E4" s="2" t="s">
        <v>251</v>
      </c>
      <c r="F4" s="2" t="s">
        <v>252</v>
      </c>
      <c r="G4" s="10" t="s">
        <v>236</v>
      </c>
      <c r="H4" s="2" t="s">
        <v>253</v>
      </c>
      <c r="I4" s="2" t="s">
        <v>254</v>
      </c>
      <c r="J4" s="2" t="s">
        <v>255</v>
      </c>
      <c r="K4" s="2" t="s">
        <v>770</v>
      </c>
      <c r="L4" s="10" t="s">
        <v>765</v>
      </c>
      <c r="M4" s="21" t="s">
        <v>769</v>
      </c>
      <c r="N4" s="2"/>
    </row>
    <row r="5" spans="1:14" ht="51" x14ac:dyDescent="0.25">
      <c r="A5" s="9" t="s">
        <v>262</v>
      </c>
      <c r="B5" s="10" t="s">
        <v>21</v>
      </c>
      <c r="C5" s="2" t="s">
        <v>263</v>
      </c>
      <c r="D5" s="2" t="s">
        <v>250</v>
      </c>
      <c r="E5" s="2" t="s">
        <v>264</v>
      </c>
      <c r="F5" s="2" t="s">
        <v>265</v>
      </c>
      <c r="G5" s="10" t="s">
        <v>236</v>
      </c>
      <c r="H5" s="2" t="s">
        <v>244</v>
      </c>
      <c r="I5" s="2" t="s">
        <v>266</v>
      </c>
      <c r="J5" s="2" t="s">
        <v>771</v>
      </c>
      <c r="K5" s="2" t="s">
        <v>773</v>
      </c>
      <c r="L5" s="10" t="s">
        <v>765</v>
      </c>
      <c r="M5" s="21" t="s">
        <v>772</v>
      </c>
      <c r="N5" s="2" t="s">
        <v>267</v>
      </c>
    </row>
    <row r="6" spans="1:14" ht="38.25" x14ac:dyDescent="0.25">
      <c r="A6" s="9" t="s">
        <v>268</v>
      </c>
      <c r="B6" s="10" t="s">
        <v>21</v>
      </c>
      <c r="C6" s="2" t="s">
        <v>269</v>
      </c>
      <c r="D6" s="2" t="s">
        <v>270</v>
      </c>
      <c r="E6" s="2" t="s">
        <v>271</v>
      </c>
      <c r="F6" s="2" t="s">
        <v>272</v>
      </c>
      <c r="G6" s="10" t="s">
        <v>236</v>
      </c>
      <c r="H6" s="2" t="s">
        <v>253</v>
      </c>
      <c r="I6" s="2" t="s">
        <v>273</v>
      </c>
      <c r="J6" s="2" t="s">
        <v>274</v>
      </c>
      <c r="K6" s="2" t="s">
        <v>775</v>
      </c>
      <c r="L6" s="10" t="s">
        <v>765</v>
      </c>
      <c r="M6" s="21" t="s">
        <v>774</v>
      </c>
      <c r="N6" s="2" t="s">
        <v>275</v>
      </c>
    </row>
    <row r="7" spans="1:14" ht="63.75" x14ac:dyDescent="0.25">
      <c r="A7" s="9" t="s">
        <v>276</v>
      </c>
      <c r="B7" s="10" t="s">
        <v>21</v>
      </c>
      <c r="C7" s="2" t="s">
        <v>277</v>
      </c>
      <c r="D7" s="2" t="s">
        <v>270</v>
      </c>
      <c r="E7" s="2" t="s">
        <v>278</v>
      </c>
      <c r="F7" s="2" t="s">
        <v>279</v>
      </c>
      <c r="G7" s="10" t="s">
        <v>236</v>
      </c>
      <c r="H7" s="2" t="s">
        <v>253</v>
      </c>
      <c r="I7" s="2" t="s">
        <v>280</v>
      </c>
      <c r="J7" s="2" t="s">
        <v>281</v>
      </c>
      <c r="K7" s="2"/>
      <c r="L7" s="10" t="s">
        <v>240</v>
      </c>
      <c r="M7" s="2"/>
      <c r="N7" s="2" t="s">
        <v>282</v>
      </c>
    </row>
    <row r="8" spans="1:14" ht="51" x14ac:dyDescent="0.25">
      <c r="A8" s="9" t="s">
        <v>292</v>
      </c>
      <c r="B8" s="10" t="s">
        <v>21</v>
      </c>
      <c r="C8" s="2" t="s">
        <v>293</v>
      </c>
      <c r="D8" s="2" t="s">
        <v>71</v>
      </c>
      <c r="E8" s="2" t="s">
        <v>294</v>
      </c>
      <c r="F8" s="2" t="s">
        <v>295</v>
      </c>
      <c r="G8" s="10" t="s">
        <v>236</v>
      </c>
      <c r="H8" s="2" t="s">
        <v>296</v>
      </c>
      <c r="I8" s="2" t="s">
        <v>297</v>
      </c>
      <c r="J8" s="2" t="s">
        <v>298</v>
      </c>
      <c r="K8" s="2"/>
      <c r="L8" s="10" t="s">
        <v>240</v>
      </c>
      <c r="M8" s="2"/>
      <c r="N8" s="2" t="s">
        <v>299</v>
      </c>
    </row>
    <row r="9" spans="1:14" ht="89.25" x14ac:dyDescent="0.25">
      <c r="A9" s="9" t="s">
        <v>316</v>
      </c>
      <c r="B9" s="10" t="s">
        <v>26</v>
      </c>
      <c r="C9" s="2" t="s">
        <v>317</v>
      </c>
      <c r="D9" s="2" t="s">
        <v>233</v>
      </c>
      <c r="E9" s="2" t="s">
        <v>234</v>
      </c>
      <c r="F9" s="2" t="s">
        <v>318</v>
      </c>
      <c r="G9" s="10" t="s">
        <v>236</v>
      </c>
      <c r="H9" s="2" t="s">
        <v>319</v>
      </c>
      <c r="I9" s="2" t="s">
        <v>320</v>
      </c>
      <c r="J9" s="2" t="s">
        <v>321</v>
      </c>
      <c r="K9" s="2"/>
      <c r="L9" s="10" t="s">
        <v>240</v>
      </c>
      <c r="M9" s="2"/>
      <c r="N9" s="2"/>
    </row>
    <row r="10" spans="1:14" ht="38.25" x14ac:dyDescent="0.25">
      <c r="A10" s="9" t="s">
        <v>322</v>
      </c>
      <c r="B10" s="10" t="s">
        <v>26</v>
      </c>
      <c r="C10" s="2" t="s">
        <v>323</v>
      </c>
      <c r="D10" s="2" t="s">
        <v>270</v>
      </c>
      <c r="E10" s="2" t="s">
        <v>324</v>
      </c>
      <c r="F10" s="2" t="s">
        <v>325</v>
      </c>
      <c r="G10" s="10" t="s">
        <v>236</v>
      </c>
      <c r="H10" s="2" t="s">
        <v>319</v>
      </c>
      <c r="I10" s="2" t="s">
        <v>326</v>
      </c>
      <c r="J10" s="2" t="s">
        <v>327</v>
      </c>
      <c r="K10" s="2"/>
      <c r="L10" s="10" t="s">
        <v>240</v>
      </c>
      <c r="M10" s="2"/>
      <c r="N10" s="2"/>
    </row>
    <row r="11" spans="1:14" ht="38.25" x14ac:dyDescent="0.25">
      <c r="A11" s="9" t="s">
        <v>328</v>
      </c>
      <c r="B11" s="10" t="s">
        <v>26</v>
      </c>
      <c r="C11" s="2" t="s">
        <v>329</v>
      </c>
      <c r="D11" s="2" t="s">
        <v>270</v>
      </c>
      <c r="E11" s="2" t="s">
        <v>330</v>
      </c>
      <c r="F11" s="2" t="s">
        <v>325</v>
      </c>
      <c r="G11" s="10" t="s">
        <v>236</v>
      </c>
      <c r="H11" s="2" t="s">
        <v>319</v>
      </c>
      <c r="I11" s="2" t="s">
        <v>331</v>
      </c>
      <c r="J11" s="2" t="s">
        <v>332</v>
      </c>
      <c r="K11" s="2"/>
      <c r="L11" s="10" t="s">
        <v>240</v>
      </c>
      <c r="M11" s="2"/>
      <c r="N11" s="2"/>
    </row>
    <row r="12" spans="1:14" ht="51" x14ac:dyDescent="0.25">
      <c r="A12" s="9" t="s">
        <v>333</v>
      </c>
      <c r="B12" s="10" t="s">
        <v>26</v>
      </c>
      <c r="C12" s="2" t="s">
        <v>334</v>
      </c>
      <c r="D12" s="2" t="s">
        <v>250</v>
      </c>
      <c r="E12" s="2" t="s">
        <v>335</v>
      </c>
      <c r="F12" s="2" t="s">
        <v>336</v>
      </c>
      <c r="G12" s="10" t="s">
        <v>236</v>
      </c>
      <c r="H12" s="2" t="s">
        <v>319</v>
      </c>
      <c r="I12" s="2" t="s">
        <v>337</v>
      </c>
      <c r="J12" s="2" t="s">
        <v>338</v>
      </c>
      <c r="K12" s="2"/>
      <c r="L12" s="10" t="s">
        <v>240</v>
      </c>
      <c r="M12" s="2"/>
      <c r="N12" s="2"/>
    </row>
    <row r="13" spans="1:14" ht="51" x14ac:dyDescent="0.25">
      <c r="A13" s="9" t="s">
        <v>339</v>
      </c>
      <c r="B13" s="10" t="s">
        <v>26</v>
      </c>
      <c r="C13" s="2" t="s">
        <v>340</v>
      </c>
      <c r="D13" s="2" t="s">
        <v>250</v>
      </c>
      <c r="E13" s="2" t="s">
        <v>341</v>
      </c>
      <c r="F13" s="2" t="s">
        <v>336</v>
      </c>
      <c r="G13" s="10" t="s">
        <v>236</v>
      </c>
      <c r="H13" s="2" t="s">
        <v>319</v>
      </c>
      <c r="I13" s="2" t="s">
        <v>342</v>
      </c>
      <c r="J13" s="2" t="s">
        <v>343</v>
      </c>
      <c r="K13" s="2"/>
      <c r="L13" s="10" t="s">
        <v>240</v>
      </c>
      <c r="M13" s="2"/>
      <c r="N13" s="2"/>
    </row>
    <row r="14" spans="1:14" ht="51" x14ac:dyDescent="0.25">
      <c r="A14" s="9" t="s">
        <v>344</v>
      </c>
      <c r="B14" s="10" t="s">
        <v>26</v>
      </c>
      <c r="C14" s="2" t="s">
        <v>345</v>
      </c>
      <c r="D14" s="2" t="s">
        <v>270</v>
      </c>
      <c r="E14" s="2" t="s">
        <v>346</v>
      </c>
      <c r="F14" s="2" t="s">
        <v>347</v>
      </c>
      <c r="G14" s="10" t="s">
        <v>236</v>
      </c>
      <c r="H14" s="2" t="s">
        <v>319</v>
      </c>
      <c r="I14" s="2" t="s">
        <v>348</v>
      </c>
      <c r="J14" s="2" t="s">
        <v>349</v>
      </c>
      <c r="K14" s="2"/>
      <c r="L14" s="10" t="s">
        <v>240</v>
      </c>
      <c r="M14" s="2"/>
      <c r="N14" s="2"/>
    </row>
    <row r="15" spans="1:14" ht="51" x14ac:dyDescent="0.25">
      <c r="A15" s="9" t="s">
        <v>350</v>
      </c>
      <c r="B15" s="10" t="s">
        <v>26</v>
      </c>
      <c r="C15" s="2" t="s">
        <v>351</v>
      </c>
      <c r="D15" s="2" t="s">
        <v>71</v>
      </c>
      <c r="E15" s="2" t="s">
        <v>352</v>
      </c>
      <c r="F15" s="2" t="s">
        <v>353</v>
      </c>
      <c r="G15" s="10" t="s">
        <v>236</v>
      </c>
      <c r="H15" s="2" t="s">
        <v>354</v>
      </c>
      <c r="I15" s="2" t="s">
        <v>355</v>
      </c>
      <c r="J15" s="2" t="s">
        <v>356</v>
      </c>
      <c r="K15" s="2"/>
      <c r="L15" s="10" t="s">
        <v>240</v>
      </c>
      <c r="M15" s="2"/>
      <c r="N15" s="2" t="s">
        <v>357</v>
      </c>
    </row>
    <row r="16" spans="1:14" ht="38.25" x14ac:dyDescent="0.25">
      <c r="A16" s="9" t="s">
        <v>358</v>
      </c>
      <c r="B16" s="10" t="s">
        <v>26</v>
      </c>
      <c r="C16" s="2" t="s">
        <v>359</v>
      </c>
      <c r="D16" s="2" t="s">
        <v>71</v>
      </c>
      <c r="E16" s="2" t="s">
        <v>360</v>
      </c>
      <c r="F16" s="2" t="s">
        <v>353</v>
      </c>
      <c r="G16" s="10" t="s">
        <v>236</v>
      </c>
      <c r="H16" s="2" t="s">
        <v>361</v>
      </c>
      <c r="I16" s="2" t="s">
        <v>362</v>
      </c>
      <c r="J16" s="2" t="s">
        <v>363</v>
      </c>
      <c r="K16" s="2"/>
      <c r="L16" s="10" t="s">
        <v>240</v>
      </c>
      <c r="M16" s="2"/>
      <c r="N16" s="2"/>
    </row>
    <row r="17" spans="1:14" ht="63.75" x14ac:dyDescent="0.25">
      <c r="A17" s="9" t="s">
        <v>372</v>
      </c>
      <c r="B17" s="10" t="s">
        <v>26</v>
      </c>
      <c r="C17" s="2" t="s">
        <v>373</v>
      </c>
      <c r="D17" s="2" t="s">
        <v>71</v>
      </c>
      <c r="E17" s="2" t="s">
        <v>374</v>
      </c>
      <c r="F17" s="2" t="s">
        <v>375</v>
      </c>
      <c r="G17" s="10" t="s">
        <v>236</v>
      </c>
      <c r="H17" s="2" t="s">
        <v>376</v>
      </c>
      <c r="I17" s="2" t="s">
        <v>377</v>
      </c>
      <c r="J17" s="2" t="s">
        <v>378</v>
      </c>
      <c r="K17" s="2"/>
      <c r="L17" s="10" t="s">
        <v>240</v>
      </c>
      <c r="M17" s="2"/>
      <c r="N17" s="2" t="s">
        <v>379</v>
      </c>
    </row>
    <row r="18" spans="1:14" ht="102" x14ac:dyDescent="0.25">
      <c r="A18" s="9" t="s">
        <v>386</v>
      </c>
      <c r="B18" s="10" t="s">
        <v>30</v>
      </c>
      <c r="C18" s="2" t="s">
        <v>387</v>
      </c>
      <c r="D18" s="2" t="s">
        <v>233</v>
      </c>
      <c r="E18" s="2" t="s">
        <v>234</v>
      </c>
      <c r="F18" s="2" t="s">
        <v>388</v>
      </c>
      <c r="G18" s="10" t="s">
        <v>236</v>
      </c>
      <c r="H18" s="2" t="s">
        <v>389</v>
      </c>
      <c r="I18" s="2" t="s">
        <v>390</v>
      </c>
      <c r="J18" s="2" t="s">
        <v>391</v>
      </c>
      <c r="K18" s="2"/>
      <c r="L18" s="10" t="s">
        <v>240</v>
      </c>
      <c r="M18" s="2"/>
      <c r="N18" s="2"/>
    </row>
    <row r="19" spans="1:14" ht="89.25" x14ac:dyDescent="0.25">
      <c r="A19" s="9" t="s">
        <v>392</v>
      </c>
      <c r="B19" s="10" t="s">
        <v>30</v>
      </c>
      <c r="C19" s="2" t="s">
        <v>393</v>
      </c>
      <c r="D19" s="2" t="s">
        <v>233</v>
      </c>
      <c r="E19" s="2" t="s">
        <v>234</v>
      </c>
      <c r="F19" s="2" t="s">
        <v>394</v>
      </c>
      <c r="G19" s="10" t="s">
        <v>236</v>
      </c>
      <c r="H19" s="2" t="s">
        <v>395</v>
      </c>
      <c r="I19" s="2" t="s">
        <v>396</v>
      </c>
      <c r="J19" s="2" t="s">
        <v>397</v>
      </c>
      <c r="K19" s="2"/>
      <c r="L19" s="10" t="s">
        <v>240</v>
      </c>
      <c r="M19" s="2"/>
      <c r="N19" s="2"/>
    </row>
    <row r="20" spans="1:14" ht="89.25" x14ac:dyDescent="0.25">
      <c r="A20" s="9" t="s">
        <v>398</v>
      </c>
      <c r="B20" s="10" t="s">
        <v>30</v>
      </c>
      <c r="C20" s="2" t="s">
        <v>399</v>
      </c>
      <c r="D20" s="2" t="s">
        <v>233</v>
      </c>
      <c r="E20" s="2" t="s">
        <v>234</v>
      </c>
      <c r="F20" s="2" t="s">
        <v>400</v>
      </c>
      <c r="G20" s="10" t="s">
        <v>236</v>
      </c>
      <c r="H20" s="2" t="s">
        <v>395</v>
      </c>
      <c r="I20" s="2" t="s">
        <v>401</v>
      </c>
      <c r="J20" s="2" t="s">
        <v>402</v>
      </c>
      <c r="K20" s="2"/>
      <c r="L20" s="10" t="s">
        <v>240</v>
      </c>
      <c r="M20" s="2"/>
      <c r="N20" s="2"/>
    </row>
    <row r="21" spans="1:14" ht="89.25" x14ac:dyDescent="0.25">
      <c r="A21" s="9" t="s">
        <v>403</v>
      </c>
      <c r="B21" s="10" t="s">
        <v>30</v>
      </c>
      <c r="C21" s="2" t="s">
        <v>404</v>
      </c>
      <c r="D21" s="2" t="s">
        <v>270</v>
      </c>
      <c r="E21" s="2" t="s">
        <v>324</v>
      </c>
      <c r="F21" s="2" t="s">
        <v>405</v>
      </c>
      <c r="G21" s="10" t="s">
        <v>236</v>
      </c>
      <c r="H21" s="2" t="s">
        <v>395</v>
      </c>
      <c r="I21" s="2" t="s">
        <v>406</v>
      </c>
      <c r="J21" s="2" t="s">
        <v>407</v>
      </c>
      <c r="K21" s="2"/>
      <c r="L21" s="10" t="s">
        <v>240</v>
      </c>
      <c r="M21" s="2"/>
      <c r="N21" s="2"/>
    </row>
    <row r="22" spans="1:14" ht="89.25" x14ac:dyDescent="0.25">
      <c r="A22" s="9" t="s">
        <v>408</v>
      </c>
      <c r="B22" s="10" t="s">
        <v>30</v>
      </c>
      <c r="C22" s="2" t="s">
        <v>409</v>
      </c>
      <c r="D22" s="2" t="s">
        <v>270</v>
      </c>
      <c r="E22" s="2" t="s">
        <v>330</v>
      </c>
      <c r="F22" s="2" t="s">
        <v>405</v>
      </c>
      <c r="G22" s="10" t="s">
        <v>236</v>
      </c>
      <c r="H22" s="2" t="s">
        <v>395</v>
      </c>
      <c r="I22" s="2" t="s">
        <v>410</v>
      </c>
      <c r="J22" s="2" t="s">
        <v>411</v>
      </c>
      <c r="K22" s="2"/>
      <c r="L22" s="10" t="s">
        <v>240</v>
      </c>
      <c r="M22" s="2"/>
      <c r="N22" s="2"/>
    </row>
    <row r="23" spans="1:14" ht="89.25" x14ac:dyDescent="0.25">
      <c r="A23" s="9" t="s">
        <v>412</v>
      </c>
      <c r="B23" s="10" t="s">
        <v>30</v>
      </c>
      <c r="C23" s="2" t="s">
        <v>413</v>
      </c>
      <c r="D23" s="2" t="s">
        <v>250</v>
      </c>
      <c r="E23" s="2" t="s">
        <v>335</v>
      </c>
      <c r="F23" s="2" t="s">
        <v>414</v>
      </c>
      <c r="G23" s="10" t="s">
        <v>236</v>
      </c>
      <c r="H23" s="2" t="s">
        <v>395</v>
      </c>
      <c r="I23" s="2" t="s">
        <v>415</v>
      </c>
      <c r="J23" s="2" t="s">
        <v>416</v>
      </c>
      <c r="K23" s="2"/>
      <c r="L23" s="10" t="s">
        <v>240</v>
      </c>
      <c r="M23" s="2"/>
      <c r="N23" s="2"/>
    </row>
    <row r="24" spans="1:14" ht="89.25" x14ac:dyDescent="0.25">
      <c r="A24" s="9" t="s">
        <v>417</v>
      </c>
      <c r="B24" s="10" t="s">
        <v>30</v>
      </c>
      <c r="C24" s="2" t="s">
        <v>418</v>
      </c>
      <c r="D24" s="2" t="s">
        <v>270</v>
      </c>
      <c r="E24" s="2" t="s">
        <v>346</v>
      </c>
      <c r="F24" s="2" t="s">
        <v>414</v>
      </c>
      <c r="G24" s="10" t="s">
        <v>236</v>
      </c>
      <c r="H24" s="2" t="s">
        <v>395</v>
      </c>
      <c r="I24" s="2" t="s">
        <v>419</v>
      </c>
      <c r="J24" s="2" t="s">
        <v>420</v>
      </c>
      <c r="K24" s="2"/>
      <c r="L24" s="10" t="s">
        <v>240</v>
      </c>
      <c r="M24" s="2"/>
      <c r="N24" s="2"/>
    </row>
    <row r="25" spans="1:14" ht="102" x14ac:dyDescent="0.25">
      <c r="A25" s="9" t="s">
        <v>421</v>
      </c>
      <c r="B25" s="10" t="s">
        <v>30</v>
      </c>
      <c r="C25" s="2" t="s">
        <v>422</v>
      </c>
      <c r="D25" s="2" t="s">
        <v>71</v>
      </c>
      <c r="E25" s="2" t="s">
        <v>423</v>
      </c>
      <c r="F25" s="2" t="s">
        <v>424</v>
      </c>
      <c r="G25" s="10" t="s">
        <v>236</v>
      </c>
      <c r="H25" s="2" t="s">
        <v>425</v>
      </c>
      <c r="I25" s="2" t="s">
        <v>426</v>
      </c>
      <c r="J25" s="2" t="s">
        <v>427</v>
      </c>
      <c r="K25" s="2"/>
      <c r="L25" s="10" t="s">
        <v>240</v>
      </c>
      <c r="M25" s="2"/>
      <c r="N25" s="2" t="s">
        <v>428</v>
      </c>
    </row>
    <row r="26" spans="1:14" ht="76.5" x14ac:dyDescent="0.25">
      <c r="A26" s="9" t="s">
        <v>457</v>
      </c>
      <c r="B26" s="10" t="s">
        <v>32</v>
      </c>
      <c r="C26" s="2" t="s">
        <v>458</v>
      </c>
      <c r="D26" s="2" t="s">
        <v>233</v>
      </c>
      <c r="E26" s="2" t="s">
        <v>234</v>
      </c>
      <c r="F26" s="2" t="s">
        <v>459</v>
      </c>
      <c r="G26" s="10" t="s">
        <v>236</v>
      </c>
      <c r="H26" s="2" t="s">
        <v>460</v>
      </c>
      <c r="I26" s="2" t="s">
        <v>461</v>
      </c>
      <c r="J26" s="2" t="s">
        <v>462</v>
      </c>
      <c r="K26" s="2"/>
      <c r="L26" s="10" t="s">
        <v>240</v>
      </c>
      <c r="M26" s="2"/>
      <c r="N26" s="2" t="s">
        <v>463</v>
      </c>
    </row>
    <row r="27" spans="1:14" ht="51" x14ac:dyDescent="0.25">
      <c r="A27" s="9" t="s">
        <v>464</v>
      </c>
      <c r="B27" s="10" t="s">
        <v>32</v>
      </c>
      <c r="C27" s="2" t="s">
        <v>465</v>
      </c>
      <c r="D27" s="2" t="s">
        <v>270</v>
      </c>
      <c r="E27" s="2" t="s">
        <v>466</v>
      </c>
      <c r="F27" s="2" t="s">
        <v>467</v>
      </c>
      <c r="G27" s="10" t="s">
        <v>236</v>
      </c>
      <c r="H27" s="2" t="s">
        <v>460</v>
      </c>
      <c r="I27" s="2" t="s">
        <v>468</v>
      </c>
      <c r="J27" s="2" t="s">
        <v>469</v>
      </c>
      <c r="K27" s="2"/>
      <c r="L27" s="10" t="s">
        <v>240</v>
      </c>
      <c r="M27" s="2"/>
      <c r="N27" s="2" t="s">
        <v>463</v>
      </c>
    </row>
    <row r="28" spans="1:14" ht="51" x14ac:dyDescent="0.25">
      <c r="A28" s="9" t="s">
        <v>470</v>
      </c>
      <c r="B28" s="10" t="s">
        <v>32</v>
      </c>
      <c r="C28" s="2" t="s">
        <v>471</v>
      </c>
      <c r="D28" s="2" t="s">
        <v>270</v>
      </c>
      <c r="E28" s="2" t="s">
        <v>472</v>
      </c>
      <c r="F28" s="2" t="s">
        <v>473</v>
      </c>
      <c r="G28" s="10" t="s">
        <v>236</v>
      </c>
      <c r="H28" s="2" t="s">
        <v>460</v>
      </c>
      <c r="I28" s="2" t="s">
        <v>474</v>
      </c>
      <c r="J28" s="2" t="s">
        <v>475</v>
      </c>
      <c r="K28" s="2"/>
      <c r="L28" s="10" t="s">
        <v>240</v>
      </c>
      <c r="M28" s="2"/>
      <c r="N28" s="2"/>
    </row>
    <row r="29" spans="1:14" ht="63.75" x14ac:dyDescent="0.25">
      <c r="A29" s="9" t="s">
        <v>489</v>
      </c>
      <c r="B29" s="10" t="s">
        <v>32</v>
      </c>
      <c r="C29" s="2" t="s">
        <v>490</v>
      </c>
      <c r="D29" s="2" t="s">
        <v>233</v>
      </c>
      <c r="E29" s="2" t="s">
        <v>491</v>
      </c>
      <c r="F29" s="2" t="s">
        <v>492</v>
      </c>
      <c r="G29" s="10" t="s">
        <v>236</v>
      </c>
      <c r="H29" s="2" t="s">
        <v>460</v>
      </c>
      <c r="I29" s="2" t="s">
        <v>493</v>
      </c>
      <c r="J29" s="2" t="s">
        <v>494</v>
      </c>
      <c r="K29" s="2"/>
      <c r="L29" s="10" t="s">
        <v>240</v>
      </c>
      <c r="M29" s="2"/>
      <c r="N29" s="2" t="s">
        <v>495</v>
      </c>
    </row>
    <row r="30" spans="1:14" ht="63.75" x14ac:dyDescent="0.25">
      <c r="A30" s="9" t="s">
        <v>496</v>
      </c>
      <c r="B30" s="10" t="s">
        <v>32</v>
      </c>
      <c r="C30" s="2" t="s">
        <v>497</v>
      </c>
      <c r="D30" s="2" t="s">
        <v>71</v>
      </c>
      <c r="E30" s="2" t="s">
        <v>498</v>
      </c>
      <c r="F30" s="2" t="s">
        <v>499</v>
      </c>
      <c r="G30" s="10" t="s">
        <v>236</v>
      </c>
      <c r="H30" s="2" t="s">
        <v>460</v>
      </c>
      <c r="I30" s="2" t="s">
        <v>500</v>
      </c>
      <c r="J30" s="2" t="s">
        <v>501</v>
      </c>
      <c r="K30" s="2"/>
      <c r="L30" s="10" t="s">
        <v>240</v>
      </c>
      <c r="M30" s="2"/>
      <c r="N30" s="2" t="s">
        <v>463</v>
      </c>
    </row>
    <row r="31" spans="1:14" ht="51" x14ac:dyDescent="0.25">
      <c r="A31" s="9" t="s">
        <v>502</v>
      </c>
      <c r="B31" s="10" t="s">
        <v>32</v>
      </c>
      <c r="C31" s="2" t="s">
        <v>503</v>
      </c>
      <c r="D31" s="2" t="s">
        <v>71</v>
      </c>
      <c r="E31" s="2" t="s">
        <v>446</v>
      </c>
      <c r="F31" s="2" t="s">
        <v>504</v>
      </c>
      <c r="G31" s="10" t="s">
        <v>236</v>
      </c>
      <c r="H31" s="2" t="s">
        <v>505</v>
      </c>
      <c r="I31" s="2" t="s">
        <v>506</v>
      </c>
      <c r="J31" s="2" t="s">
        <v>507</v>
      </c>
      <c r="K31" s="2"/>
      <c r="L31" s="10" t="s">
        <v>240</v>
      </c>
      <c r="M31" s="2"/>
      <c r="N31" s="2"/>
    </row>
    <row r="32" spans="1:14" ht="51" x14ac:dyDescent="0.25">
      <c r="A32" s="9" t="s">
        <v>199</v>
      </c>
      <c r="B32" s="10" t="s">
        <v>32</v>
      </c>
      <c r="C32" s="2" t="s">
        <v>508</v>
      </c>
      <c r="D32" s="2" t="s">
        <v>71</v>
      </c>
      <c r="E32" s="2" t="s">
        <v>509</v>
      </c>
      <c r="F32" s="2" t="s">
        <v>510</v>
      </c>
      <c r="G32" s="10" t="s">
        <v>236</v>
      </c>
      <c r="H32" s="2" t="s">
        <v>511</v>
      </c>
      <c r="I32" s="2" t="s">
        <v>512</v>
      </c>
      <c r="J32" s="2" t="s">
        <v>513</v>
      </c>
      <c r="K32" s="2"/>
      <c r="L32" s="10" t="s">
        <v>240</v>
      </c>
      <c r="M32" s="2"/>
      <c r="N32" s="2" t="s">
        <v>514</v>
      </c>
    </row>
    <row r="33" spans="1:14" ht="76.5" x14ac:dyDescent="0.25">
      <c r="A33" s="9" t="s">
        <v>515</v>
      </c>
      <c r="B33" s="10" t="s">
        <v>32</v>
      </c>
      <c r="C33" s="2" t="s">
        <v>516</v>
      </c>
      <c r="D33" s="2" t="s">
        <v>71</v>
      </c>
      <c r="E33" s="2" t="s">
        <v>517</v>
      </c>
      <c r="F33" s="2" t="s">
        <v>518</v>
      </c>
      <c r="G33" s="10" t="s">
        <v>236</v>
      </c>
      <c r="H33" s="2" t="s">
        <v>519</v>
      </c>
      <c r="I33" s="2" t="s">
        <v>520</v>
      </c>
      <c r="J33" s="2" t="s">
        <v>521</v>
      </c>
      <c r="K33" s="2"/>
      <c r="L33" s="10" t="s">
        <v>240</v>
      </c>
      <c r="M33" s="2"/>
      <c r="N33" s="2" t="s">
        <v>522</v>
      </c>
    </row>
    <row r="34" spans="1:14" ht="25.5" x14ac:dyDescent="0.25">
      <c r="A34" s="9" t="s">
        <v>531</v>
      </c>
      <c r="B34" s="10" t="s">
        <v>35</v>
      </c>
      <c r="C34" s="2" t="s">
        <v>532</v>
      </c>
      <c r="D34" s="2" t="s">
        <v>233</v>
      </c>
      <c r="E34" s="2" t="s">
        <v>533</v>
      </c>
      <c r="F34" s="2" t="s">
        <v>534</v>
      </c>
      <c r="G34" s="10" t="s">
        <v>236</v>
      </c>
      <c r="H34" s="2" t="s">
        <v>535</v>
      </c>
      <c r="I34" s="2" t="s">
        <v>536</v>
      </c>
      <c r="J34" s="2" t="s">
        <v>537</v>
      </c>
      <c r="K34" s="2"/>
      <c r="L34" s="10" t="s">
        <v>240</v>
      </c>
      <c r="M34" s="2"/>
      <c r="N34" s="2"/>
    </row>
    <row r="35" spans="1:14" ht="25.5" x14ac:dyDescent="0.25">
      <c r="A35" s="9" t="s">
        <v>549</v>
      </c>
      <c r="B35" s="10" t="s">
        <v>35</v>
      </c>
      <c r="C35" s="2" t="s">
        <v>550</v>
      </c>
      <c r="D35" s="2" t="s">
        <v>233</v>
      </c>
      <c r="E35" s="2" t="s">
        <v>533</v>
      </c>
      <c r="F35" s="2" t="s">
        <v>551</v>
      </c>
      <c r="G35" s="10" t="s">
        <v>236</v>
      </c>
      <c r="H35" s="2" t="s">
        <v>552</v>
      </c>
      <c r="I35" s="2" t="s">
        <v>542</v>
      </c>
      <c r="J35" s="2" t="s">
        <v>553</v>
      </c>
      <c r="K35" s="2"/>
      <c r="L35" s="10" t="s">
        <v>240</v>
      </c>
      <c r="M35" s="2"/>
      <c r="N35" s="2"/>
    </row>
    <row r="36" spans="1:14" x14ac:dyDescent="0.25">
      <c r="A36" s="9" t="s">
        <v>554</v>
      </c>
      <c r="B36" s="10" t="s">
        <v>35</v>
      </c>
      <c r="C36" s="2" t="s">
        <v>555</v>
      </c>
      <c r="D36" s="2" t="s">
        <v>250</v>
      </c>
      <c r="E36" s="2" t="s">
        <v>556</v>
      </c>
      <c r="F36" s="2" t="s">
        <v>557</v>
      </c>
      <c r="G36" s="10" t="s">
        <v>236</v>
      </c>
      <c r="H36" s="2" t="s">
        <v>558</v>
      </c>
      <c r="I36" s="2" t="s">
        <v>559</v>
      </c>
      <c r="J36" s="2" t="s">
        <v>560</v>
      </c>
      <c r="K36" s="2"/>
      <c r="L36" s="10" t="s">
        <v>240</v>
      </c>
      <c r="M36" s="2"/>
      <c r="N36" s="2"/>
    </row>
    <row r="37" spans="1:14" ht="25.5" x14ac:dyDescent="0.25">
      <c r="A37" s="9" t="s">
        <v>561</v>
      </c>
      <c r="B37" s="10" t="s">
        <v>40</v>
      </c>
      <c r="C37" s="2" t="s">
        <v>562</v>
      </c>
      <c r="D37" s="2" t="s">
        <v>233</v>
      </c>
      <c r="E37" s="2" t="s">
        <v>533</v>
      </c>
      <c r="F37" s="2" t="s">
        <v>563</v>
      </c>
      <c r="G37" s="10" t="s">
        <v>236</v>
      </c>
      <c r="H37" s="2" t="s">
        <v>564</v>
      </c>
      <c r="I37" s="2" t="s">
        <v>542</v>
      </c>
      <c r="J37" s="2" t="s">
        <v>565</v>
      </c>
      <c r="K37" s="2"/>
      <c r="L37" s="10" t="s">
        <v>240</v>
      </c>
      <c r="M37" s="2"/>
      <c r="N37" s="2"/>
    </row>
    <row r="38" spans="1:14" ht="25.5" x14ac:dyDescent="0.25">
      <c r="A38" s="9" t="s">
        <v>566</v>
      </c>
      <c r="B38" s="10" t="s">
        <v>40</v>
      </c>
      <c r="C38" s="2" t="s">
        <v>567</v>
      </c>
      <c r="D38" s="2" t="s">
        <v>233</v>
      </c>
      <c r="E38" s="2" t="s">
        <v>533</v>
      </c>
      <c r="F38" s="2" t="s">
        <v>563</v>
      </c>
      <c r="G38" s="10" t="s">
        <v>236</v>
      </c>
      <c r="H38" s="2" t="s">
        <v>568</v>
      </c>
      <c r="I38" s="2" t="s">
        <v>542</v>
      </c>
      <c r="J38" s="2" t="s">
        <v>569</v>
      </c>
      <c r="K38" s="2"/>
      <c r="L38" s="10" t="s">
        <v>240</v>
      </c>
      <c r="M38" s="2"/>
      <c r="N38" s="2"/>
    </row>
    <row r="39" spans="1:14" ht="25.5" x14ac:dyDescent="0.25">
      <c r="A39" s="9" t="s">
        <v>570</v>
      </c>
      <c r="B39" s="10" t="s">
        <v>40</v>
      </c>
      <c r="C39" s="2" t="s">
        <v>571</v>
      </c>
      <c r="D39" s="2" t="s">
        <v>250</v>
      </c>
      <c r="E39" s="2" t="s">
        <v>533</v>
      </c>
      <c r="F39" s="2" t="s">
        <v>572</v>
      </c>
      <c r="G39" s="10" t="s">
        <v>236</v>
      </c>
      <c r="H39" s="2" t="s">
        <v>573</v>
      </c>
      <c r="I39" s="2" t="s">
        <v>542</v>
      </c>
      <c r="J39" s="2" t="s">
        <v>574</v>
      </c>
      <c r="K39" s="2"/>
      <c r="L39" s="10" t="s">
        <v>240</v>
      </c>
      <c r="M39" s="2"/>
      <c r="N39" s="2"/>
    </row>
    <row r="40" spans="1:14" x14ac:dyDescent="0.25">
      <c r="A40" s="9" t="s">
        <v>575</v>
      </c>
      <c r="B40" s="10" t="s">
        <v>40</v>
      </c>
      <c r="C40" s="2" t="s">
        <v>576</v>
      </c>
      <c r="D40" s="2" t="s">
        <v>250</v>
      </c>
      <c r="E40" s="2" t="s">
        <v>533</v>
      </c>
      <c r="F40" s="2" t="s">
        <v>572</v>
      </c>
      <c r="G40" s="10" t="s">
        <v>236</v>
      </c>
      <c r="H40" s="2" t="s">
        <v>577</v>
      </c>
      <c r="I40" s="2" t="s">
        <v>542</v>
      </c>
      <c r="J40" s="2" t="s">
        <v>578</v>
      </c>
      <c r="K40" s="2"/>
      <c r="L40" s="10" t="s">
        <v>240</v>
      </c>
      <c r="M40" s="2"/>
      <c r="N40" s="2" t="s">
        <v>579</v>
      </c>
    </row>
    <row r="41" spans="1:14" ht="25.5" x14ac:dyDescent="0.25">
      <c r="A41" s="9" t="s">
        <v>589</v>
      </c>
      <c r="B41" s="10" t="s">
        <v>42</v>
      </c>
      <c r="C41" s="2" t="s">
        <v>590</v>
      </c>
      <c r="D41" s="2" t="s">
        <v>233</v>
      </c>
      <c r="E41" s="2" t="s">
        <v>533</v>
      </c>
      <c r="F41" s="2" t="s">
        <v>591</v>
      </c>
      <c r="G41" s="10" t="s">
        <v>236</v>
      </c>
      <c r="H41" s="2" t="s">
        <v>535</v>
      </c>
      <c r="I41" s="2" t="s">
        <v>592</v>
      </c>
      <c r="J41" s="2" t="s">
        <v>593</v>
      </c>
      <c r="K41" s="2"/>
      <c r="L41" s="10" t="s">
        <v>240</v>
      </c>
      <c r="M41" s="2"/>
      <c r="N41" s="2"/>
    </row>
    <row r="42" spans="1:14" ht="25.5" x14ac:dyDescent="0.25">
      <c r="A42" s="9" t="s">
        <v>594</v>
      </c>
      <c r="B42" s="10" t="s">
        <v>42</v>
      </c>
      <c r="C42" s="2" t="s">
        <v>595</v>
      </c>
      <c r="D42" s="2" t="s">
        <v>270</v>
      </c>
      <c r="E42" s="2" t="s">
        <v>596</v>
      </c>
      <c r="F42" s="2" t="s">
        <v>591</v>
      </c>
      <c r="G42" s="10" t="s">
        <v>236</v>
      </c>
      <c r="H42" s="2" t="s">
        <v>535</v>
      </c>
      <c r="I42" s="2" t="s">
        <v>597</v>
      </c>
      <c r="J42" s="2" t="s">
        <v>598</v>
      </c>
      <c r="K42" s="2"/>
      <c r="L42" s="10" t="s">
        <v>240</v>
      </c>
      <c r="M42" s="2"/>
      <c r="N42" s="2" t="s">
        <v>599</v>
      </c>
    </row>
    <row r="43" spans="1:14" ht="25.5" x14ac:dyDescent="0.25">
      <c r="A43" s="9" t="s">
        <v>600</v>
      </c>
      <c r="B43" s="10" t="s">
        <v>42</v>
      </c>
      <c r="C43" s="2" t="s">
        <v>601</v>
      </c>
      <c r="D43" s="2" t="s">
        <v>250</v>
      </c>
      <c r="E43" s="2" t="s">
        <v>596</v>
      </c>
      <c r="F43" s="2" t="s">
        <v>602</v>
      </c>
      <c r="G43" s="10" t="s">
        <v>236</v>
      </c>
      <c r="H43" s="2" t="s">
        <v>535</v>
      </c>
      <c r="I43" s="2" t="s">
        <v>603</v>
      </c>
      <c r="J43" s="2" t="s">
        <v>604</v>
      </c>
      <c r="K43" s="2"/>
      <c r="L43" s="10" t="s">
        <v>240</v>
      </c>
      <c r="M43" s="2"/>
      <c r="N43" s="2"/>
    </row>
    <row r="44" spans="1:14" ht="25.5" x14ac:dyDescent="0.25">
      <c r="A44" s="9" t="s">
        <v>610</v>
      </c>
      <c r="B44" s="10" t="s">
        <v>42</v>
      </c>
      <c r="C44" s="2" t="s">
        <v>611</v>
      </c>
      <c r="D44" s="2" t="s">
        <v>71</v>
      </c>
      <c r="E44" s="2" t="s">
        <v>533</v>
      </c>
      <c r="F44" s="2" t="s">
        <v>612</v>
      </c>
      <c r="G44" s="10" t="s">
        <v>236</v>
      </c>
      <c r="H44" s="2" t="s">
        <v>613</v>
      </c>
      <c r="I44" s="2" t="s">
        <v>614</v>
      </c>
      <c r="J44" s="2" t="s">
        <v>615</v>
      </c>
      <c r="K44" s="2"/>
      <c r="L44" s="10" t="s">
        <v>240</v>
      </c>
      <c r="M44" s="2"/>
      <c r="N44" s="2" t="s">
        <v>616</v>
      </c>
    </row>
    <row r="45" spans="1:14" ht="25.5" x14ac:dyDescent="0.25">
      <c r="A45" s="9" t="s">
        <v>617</v>
      </c>
      <c r="B45" s="10" t="s">
        <v>44</v>
      </c>
      <c r="C45" s="2" t="s">
        <v>618</v>
      </c>
      <c r="D45" s="2" t="s">
        <v>233</v>
      </c>
      <c r="E45" s="2" t="s">
        <v>533</v>
      </c>
      <c r="F45" s="2" t="s">
        <v>619</v>
      </c>
      <c r="G45" s="10" t="s">
        <v>236</v>
      </c>
      <c r="H45" s="2" t="s">
        <v>620</v>
      </c>
      <c r="I45" s="2" t="s">
        <v>621</v>
      </c>
      <c r="J45" s="2" t="s">
        <v>622</v>
      </c>
      <c r="K45" s="2"/>
      <c r="L45" s="10" t="s">
        <v>240</v>
      </c>
      <c r="M45" s="2"/>
      <c r="N45" s="2"/>
    </row>
    <row r="46" spans="1:14" x14ac:dyDescent="0.25">
      <c r="A46" s="9" t="s">
        <v>623</v>
      </c>
      <c r="B46" s="10" t="s">
        <v>44</v>
      </c>
      <c r="C46" s="2" t="s">
        <v>624</v>
      </c>
      <c r="D46" s="2" t="s">
        <v>250</v>
      </c>
      <c r="E46" s="2" t="s">
        <v>607</v>
      </c>
      <c r="F46" s="2" t="s">
        <v>625</v>
      </c>
      <c r="G46" s="10" t="s">
        <v>236</v>
      </c>
      <c r="H46" s="2" t="s">
        <v>626</v>
      </c>
      <c r="I46" s="2" t="s">
        <v>627</v>
      </c>
      <c r="J46" s="2" t="s">
        <v>628</v>
      </c>
      <c r="K46" s="2"/>
      <c r="L46" s="10" t="s">
        <v>240</v>
      </c>
      <c r="M46" s="2"/>
      <c r="N46" s="2"/>
    </row>
    <row r="47" spans="1:14" ht="25.5" x14ac:dyDescent="0.25">
      <c r="A47" s="9" t="s">
        <v>629</v>
      </c>
      <c r="B47" s="10" t="s">
        <v>44</v>
      </c>
      <c r="C47" s="2" t="s">
        <v>630</v>
      </c>
      <c r="D47" s="2" t="s">
        <v>250</v>
      </c>
      <c r="E47" s="2" t="s">
        <v>533</v>
      </c>
      <c r="F47" s="2" t="s">
        <v>625</v>
      </c>
      <c r="G47" s="10" t="s">
        <v>236</v>
      </c>
      <c r="H47" s="2" t="s">
        <v>631</v>
      </c>
      <c r="I47" s="2" t="s">
        <v>632</v>
      </c>
      <c r="J47" s="2" t="s">
        <v>633</v>
      </c>
      <c r="K47" s="2"/>
      <c r="L47" s="10" t="s">
        <v>240</v>
      </c>
      <c r="M47" s="2"/>
      <c r="N47" s="2"/>
    </row>
    <row r="48" spans="1:14" ht="25.5" x14ac:dyDescent="0.25">
      <c r="A48" s="9" t="s">
        <v>646</v>
      </c>
      <c r="B48" s="10" t="s">
        <v>44</v>
      </c>
      <c r="C48" s="2" t="s">
        <v>647</v>
      </c>
      <c r="D48" s="2" t="s">
        <v>233</v>
      </c>
      <c r="E48" s="2" t="s">
        <v>533</v>
      </c>
      <c r="F48" s="2" t="s">
        <v>619</v>
      </c>
      <c r="G48" s="10" t="s">
        <v>236</v>
      </c>
      <c r="H48" s="2" t="s">
        <v>648</v>
      </c>
      <c r="I48" s="2" t="s">
        <v>542</v>
      </c>
      <c r="J48" s="2" t="s">
        <v>649</v>
      </c>
      <c r="K48" s="2"/>
      <c r="L48" s="10" t="s">
        <v>240</v>
      </c>
      <c r="M48" s="2"/>
      <c r="N48" s="2"/>
    </row>
    <row r="49" spans="1:14" ht="38.25" x14ac:dyDescent="0.25">
      <c r="A49" s="9" t="s">
        <v>283</v>
      </c>
      <c r="B49" s="10" t="s">
        <v>21</v>
      </c>
      <c r="C49" s="2" t="s">
        <v>284</v>
      </c>
      <c r="D49" s="2" t="s">
        <v>71</v>
      </c>
      <c r="E49" s="2" t="s">
        <v>285</v>
      </c>
      <c r="F49" s="2" t="s">
        <v>286</v>
      </c>
      <c r="G49" s="10" t="s">
        <v>287</v>
      </c>
      <c r="H49" s="2" t="s">
        <v>288</v>
      </c>
      <c r="I49" s="2" t="s">
        <v>289</v>
      </c>
      <c r="J49" s="2" t="s">
        <v>290</v>
      </c>
      <c r="K49" s="2"/>
      <c r="L49" s="10" t="s">
        <v>240</v>
      </c>
      <c r="M49" s="2"/>
      <c r="N49" s="2" t="s">
        <v>291</v>
      </c>
    </row>
    <row r="50" spans="1:14" ht="38.25" x14ac:dyDescent="0.25">
      <c r="A50" s="9" t="s">
        <v>300</v>
      </c>
      <c r="B50" s="10" t="s">
        <v>21</v>
      </c>
      <c r="C50" s="2" t="s">
        <v>301</v>
      </c>
      <c r="D50" s="2" t="s">
        <v>250</v>
      </c>
      <c r="E50" s="2" t="s">
        <v>302</v>
      </c>
      <c r="F50" s="2" t="s">
        <v>303</v>
      </c>
      <c r="G50" s="10" t="s">
        <v>287</v>
      </c>
      <c r="H50" s="2" t="s">
        <v>304</v>
      </c>
      <c r="I50" s="2" t="s">
        <v>305</v>
      </c>
      <c r="J50" s="2" t="s">
        <v>306</v>
      </c>
      <c r="K50" s="2"/>
      <c r="L50" s="10" t="s">
        <v>240</v>
      </c>
      <c r="M50" s="2"/>
      <c r="N50" s="2" t="s">
        <v>307</v>
      </c>
    </row>
    <row r="51" spans="1:14" ht="38.25" x14ac:dyDescent="0.25">
      <c r="A51" s="9" t="s">
        <v>380</v>
      </c>
      <c r="B51" s="10" t="s">
        <v>26</v>
      </c>
      <c r="C51" s="2" t="s">
        <v>381</v>
      </c>
      <c r="D51" s="2" t="s">
        <v>250</v>
      </c>
      <c r="E51" s="2" t="s">
        <v>382</v>
      </c>
      <c r="F51" s="2" t="s">
        <v>383</v>
      </c>
      <c r="G51" s="10" t="s">
        <v>287</v>
      </c>
      <c r="H51" s="2" t="s">
        <v>319</v>
      </c>
      <c r="I51" s="2" t="s">
        <v>384</v>
      </c>
      <c r="J51" s="2" t="s">
        <v>385</v>
      </c>
      <c r="K51" s="2"/>
      <c r="L51" s="10" t="s">
        <v>240</v>
      </c>
      <c r="M51" s="2"/>
      <c r="N51" s="2"/>
    </row>
    <row r="52" spans="1:14" ht="25.5" x14ac:dyDescent="0.25">
      <c r="A52" s="9" t="s">
        <v>538</v>
      </c>
      <c r="B52" s="10" t="s">
        <v>35</v>
      </c>
      <c r="C52" s="2" t="s">
        <v>539</v>
      </c>
      <c r="D52" s="2" t="s">
        <v>71</v>
      </c>
      <c r="E52" s="2" t="s">
        <v>533</v>
      </c>
      <c r="F52" s="2" t="s">
        <v>540</v>
      </c>
      <c r="G52" s="10" t="s">
        <v>287</v>
      </c>
      <c r="H52" s="2" t="s">
        <v>541</v>
      </c>
      <c r="I52" s="2" t="s">
        <v>542</v>
      </c>
      <c r="J52" s="2" t="s">
        <v>543</v>
      </c>
      <c r="K52" s="2"/>
      <c r="L52" s="10" t="s">
        <v>240</v>
      </c>
      <c r="M52" s="2"/>
      <c r="N52" s="2"/>
    </row>
    <row r="53" spans="1:14" ht="25.5" x14ac:dyDescent="0.25">
      <c r="A53" s="9" t="s">
        <v>640</v>
      </c>
      <c r="B53" s="10" t="s">
        <v>44</v>
      </c>
      <c r="C53" s="2" t="s">
        <v>641</v>
      </c>
      <c r="D53" s="2" t="s">
        <v>270</v>
      </c>
      <c r="E53" s="2" t="s">
        <v>596</v>
      </c>
      <c r="F53" s="2" t="s">
        <v>642</v>
      </c>
      <c r="G53" s="10" t="s">
        <v>287</v>
      </c>
      <c r="H53" s="2" t="s">
        <v>643</v>
      </c>
      <c r="I53" s="2" t="s">
        <v>644</v>
      </c>
      <c r="J53" s="2" t="s">
        <v>645</v>
      </c>
      <c r="K53" s="2"/>
      <c r="L53" s="10" t="s">
        <v>240</v>
      </c>
      <c r="M53" s="2"/>
      <c r="N53" s="2"/>
    </row>
    <row r="54" spans="1:14" ht="38.25" x14ac:dyDescent="0.25">
      <c r="A54" s="9" t="s">
        <v>256</v>
      </c>
      <c r="B54" s="10" t="s">
        <v>21</v>
      </c>
      <c r="C54" s="2" t="s">
        <v>257</v>
      </c>
      <c r="D54" s="2" t="s">
        <v>250</v>
      </c>
      <c r="E54" s="2" t="s">
        <v>258</v>
      </c>
      <c r="F54" s="2" t="s">
        <v>252</v>
      </c>
      <c r="G54" s="10" t="s">
        <v>259</v>
      </c>
      <c r="H54" s="2" t="s">
        <v>244</v>
      </c>
      <c r="I54" s="2" t="s">
        <v>260</v>
      </c>
      <c r="J54" s="2" t="s">
        <v>261</v>
      </c>
      <c r="K54" s="2"/>
      <c r="L54" s="10" t="s">
        <v>240</v>
      </c>
      <c r="M54" s="2"/>
      <c r="N54" s="2"/>
    </row>
    <row r="55" spans="1:14" ht="38.25" x14ac:dyDescent="0.25">
      <c r="A55" s="9" t="s">
        <v>308</v>
      </c>
      <c r="B55" s="10" t="s">
        <v>21</v>
      </c>
      <c r="C55" s="2" t="s">
        <v>309</v>
      </c>
      <c r="D55" s="2" t="s">
        <v>250</v>
      </c>
      <c r="E55" s="2" t="s">
        <v>310</v>
      </c>
      <c r="F55" s="2" t="s">
        <v>311</v>
      </c>
      <c r="G55" s="10" t="s">
        <v>259</v>
      </c>
      <c r="H55" s="2" t="s">
        <v>312</v>
      </c>
      <c r="I55" s="2" t="s">
        <v>313</v>
      </c>
      <c r="J55" s="2" t="s">
        <v>314</v>
      </c>
      <c r="K55" s="2"/>
      <c r="L55" s="10" t="s">
        <v>240</v>
      </c>
      <c r="M55" s="2"/>
      <c r="N55" s="2" t="s">
        <v>315</v>
      </c>
    </row>
    <row r="56" spans="1:14" ht="51" x14ac:dyDescent="0.25">
      <c r="A56" s="9" t="s">
        <v>364</v>
      </c>
      <c r="B56" s="10" t="s">
        <v>26</v>
      </c>
      <c r="C56" s="2" t="s">
        <v>365</v>
      </c>
      <c r="D56" s="2" t="s">
        <v>71</v>
      </c>
      <c r="E56" s="2" t="s">
        <v>366</v>
      </c>
      <c r="F56" s="2" t="s">
        <v>367</v>
      </c>
      <c r="G56" s="10" t="s">
        <v>259</v>
      </c>
      <c r="H56" s="2" t="s">
        <v>368</v>
      </c>
      <c r="I56" s="2" t="s">
        <v>369</v>
      </c>
      <c r="J56" s="2" t="s">
        <v>370</v>
      </c>
      <c r="K56" s="2"/>
      <c r="L56" s="10" t="s">
        <v>240</v>
      </c>
      <c r="M56" s="2"/>
      <c r="N56" s="2" t="s">
        <v>371</v>
      </c>
    </row>
    <row r="57" spans="1:14" ht="102" x14ac:dyDescent="0.25">
      <c r="A57" s="9" t="s">
        <v>429</v>
      </c>
      <c r="B57" s="10" t="s">
        <v>30</v>
      </c>
      <c r="C57" s="2" t="s">
        <v>430</v>
      </c>
      <c r="D57" s="2" t="s">
        <v>71</v>
      </c>
      <c r="E57" s="2" t="s">
        <v>423</v>
      </c>
      <c r="F57" s="2" t="s">
        <v>405</v>
      </c>
      <c r="G57" s="10" t="s">
        <v>259</v>
      </c>
      <c r="H57" s="2" t="s">
        <v>425</v>
      </c>
      <c r="I57" s="2" t="s">
        <v>431</v>
      </c>
      <c r="J57" s="2" t="s">
        <v>432</v>
      </c>
      <c r="K57" s="2"/>
      <c r="L57" s="10" t="s">
        <v>240</v>
      </c>
      <c r="M57" s="2"/>
      <c r="N57" s="2"/>
    </row>
    <row r="58" spans="1:14" ht="76.5" x14ac:dyDescent="0.25">
      <c r="A58" s="9" t="s">
        <v>433</v>
      </c>
      <c r="B58" s="10" t="s">
        <v>30</v>
      </c>
      <c r="C58" s="2" t="s">
        <v>434</v>
      </c>
      <c r="D58" s="2" t="s">
        <v>71</v>
      </c>
      <c r="E58" s="2" t="s">
        <v>423</v>
      </c>
      <c r="F58" s="2" t="s">
        <v>405</v>
      </c>
      <c r="G58" s="10" t="s">
        <v>259</v>
      </c>
      <c r="H58" s="2" t="s">
        <v>435</v>
      </c>
      <c r="I58" s="2" t="s">
        <v>436</v>
      </c>
      <c r="J58" s="2" t="s">
        <v>437</v>
      </c>
      <c r="K58" s="2"/>
      <c r="L58" s="10" t="s">
        <v>240</v>
      </c>
      <c r="M58" s="2"/>
      <c r="N58" s="2"/>
    </row>
    <row r="59" spans="1:14" ht="102" x14ac:dyDescent="0.25">
      <c r="A59" s="9" t="s">
        <v>438</v>
      </c>
      <c r="B59" s="10" t="s">
        <v>30</v>
      </c>
      <c r="C59" s="2" t="s">
        <v>439</v>
      </c>
      <c r="D59" s="2" t="s">
        <v>71</v>
      </c>
      <c r="E59" s="2" t="s">
        <v>352</v>
      </c>
      <c r="F59" s="2" t="s">
        <v>440</v>
      </c>
      <c r="G59" s="10" t="s">
        <v>259</v>
      </c>
      <c r="H59" s="2" t="s">
        <v>441</v>
      </c>
      <c r="I59" s="2" t="s">
        <v>442</v>
      </c>
      <c r="J59" s="2" t="s">
        <v>443</v>
      </c>
      <c r="K59" s="2"/>
      <c r="L59" s="10" t="s">
        <v>240</v>
      </c>
      <c r="M59" s="2"/>
      <c r="N59" s="2"/>
    </row>
    <row r="60" spans="1:14" ht="51" x14ac:dyDescent="0.25">
      <c r="A60" s="9" t="s">
        <v>444</v>
      </c>
      <c r="B60" s="10" t="s">
        <v>30</v>
      </c>
      <c r="C60" s="2" t="s">
        <v>445</v>
      </c>
      <c r="D60" s="2" t="s">
        <v>71</v>
      </c>
      <c r="E60" s="2" t="s">
        <v>446</v>
      </c>
      <c r="F60" s="2" t="s">
        <v>447</v>
      </c>
      <c r="G60" s="10" t="s">
        <v>259</v>
      </c>
      <c r="H60" s="2" t="s">
        <v>448</v>
      </c>
      <c r="I60" s="2" t="s">
        <v>449</v>
      </c>
      <c r="J60" s="2" t="s">
        <v>450</v>
      </c>
      <c r="K60" s="2"/>
      <c r="L60" s="10" t="s">
        <v>240</v>
      </c>
      <c r="M60" s="2"/>
      <c r="N60" s="2"/>
    </row>
    <row r="61" spans="1:14" ht="89.25" x14ac:dyDescent="0.25">
      <c r="A61" s="9" t="s">
        <v>451</v>
      </c>
      <c r="B61" s="10" t="s">
        <v>30</v>
      </c>
      <c r="C61" s="2" t="s">
        <v>452</v>
      </c>
      <c r="D61" s="2" t="s">
        <v>250</v>
      </c>
      <c r="E61" s="2" t="s">
        <v>453</v>
      </c>
      <c r="F61" s="2" t="s">
        <v>454</v>
      </c>
      <c r="G61" s="10" t="s">
        <v>259</v>
      </c>
      <c r="H61" s="2" t="s">
        <v>395</v>
      </c>
      <c r="I61" s="2" t="s">
        <v>455</v>
      </c>
      <c r="J61" s="2" t="s">
        <v>456</v>
      </c>
      <c r="K61" s="2"/>
      <c r="L61" s="10" t="s">
        <v>240</v>
      </c>
      <c r="M61" s="2"/>
      <c r="N61" s="2"/>
    </row>
    <row r="62" spans="1:14" ht="51" x14ac:dyDescent="0.25">
      <c r="A62" s="9" t="s">
        <v>476</v>
      </c>
      <c r="B62" s="10" t="s">
        <v>32</v>
      </c>
      <c r="C62" s="2" t="s">
        <v>477</v>
      </c>
      <c r="D62" s="2" t="s">
        <v>250</v>
      </c>
      <c r="E62" s="2" t="s">
        <v>478</v>
      </c>
      <c r="F62" s="2" t="s">
        <v>479</v>
      </c>
      <c r="G62" s="10" t="s">
        <v>259</v>
      </c>
      <c r="H62" s="2" t="s">
        <v>460</v>
      </c>
      <c r="I62" s="2" t="s">
        <v>480</v>
      </c>
      <c r="J62" s="2" t="s">
        <v>481</v>
      </c>
      <c r="K62" s="2"/>
      <c r="L62" s="10" t="s">
        <v>240</v>
      </c>
      <c r="M62" s="2"/>
      <c r="N62" s="2" t="s">
        <v>482</v>
      </c>
    </row>
    <row r="63" spans="1:14" ht="51" x14ac:dyDescent="0.25">
      <c r="A63" s="9" t="s">
        <v>483</v>
      </c>
      <c r="B63" s="10" t="s">
        <v>32</v>
      </c>
      <c r="C63" s="2" t="s">
        <v>484</v>
      </c>
      <c r="D63" s="2" t="s">
        <v>250</v>
      </c>
      <c r="E63" s="2" t="s">
        <v>485</v>
      </c>
      <c r="F63" s="2" t="s">
        <v>486</v>
      </c>
      <c r="G63" s="10" t="s">
        <v>259</v>
      </c>
      <c r="H63" s="2" t="s">
        <v>460</v>
      </c>
      <c r="I63" s="2" t="s">
        <v>487</v>
      </c>
      <c r="J63" s="2" t="s">
        <v>488</v>
      </c>
      <c r="K63" s="2"/>
      <c r="L63" s="10" t="s">
        <v>240</v>
      </c>
      <c r="M63" s="2"/>
      <c r="N63" s="2"/>
    </row>
    <row r="64" spans="1:14" ht="63.75" x14ac:dyDescent="0.25">
      <c r="A64" s="9" t="s">
        <v>523</v>
      </c>
      <c r="B64" s="10" t="s">
        <v>32</v>
      </c>
      <c r="C64" s="2" t="s">
        <v>524</v>
      </c>
      <c r="D64" s="2" t="s">
        <v>525</v>
      </c>
      <c r="E64" s="2" t="s">
        <v>526</v>
      </c>
      <c r="F64" s="2" t="s">
        <v>527</v>
      </c>
      <c r="G64" s="10" t="s">
        <v>259</v>
      </c>
      <c r="H64" s="2" t="s">
        <v>460</v>
      </c>
      <c r="I64" s="2" t="s">
        <v>528</v>
      </c>
      <c r="J64" s="2" t="s">
        <v>529</v>
      </c>
      <c r="K64" s="2"/>
      <c r="L64" s="10" t="s">
        <v>240</v>
      </c>
      <c r="M64" s="2"/>
      <c r="N64" s="2" t="s">
        <v>530</v>
      </c>
    </row>
    <row r="65" spans="1:14" ht="25.5" x14ac:dyDescent="0.25">
      <c r="A65" s="9" t="s">
        <v>544</v>
      </c>
      <c r="B65" s="10" t="s">
        <v>35</v>
      </c>
      <c r="C65" s="2" t="s">
        <v>545</v>
      </c>
      <c r="D65" s="2" t="s">
        <v>233</v>
      </c>
      <c r="E65" s="2" t="s">
        <v>533</v>
      </c>
      <c r="F65" s="2" t="s">
        <v>534</v>
      </c>
      <c r="G65" s="10" t="s">
        <v>259</v>
      </c>
      <c r="H65" s="2" t="s">
        <v>546</v>
      </c>
      <c r="I65" s="2" t="s">
        <v>547</v>
      </c>
      <c r="J65" s="2" t="s">
        <v>548</v>
      </c>
      <c r="K65" s="2"/>
      <c r="L65" s="10" t="s">
        <v>240</v>
      </c>
      <c r="M65" s="2"/>
      <c r="N65" s="2"/>
    </row>
    <row r="66" spans="1:14" x14ac:dyDescent="0.25">
      <c r="A66" s="9" t="s">
        <v>580</v>
      </c>
      <c r="B66" s="10" t="s">
        <v>40</v>
      </c>
      <c r="C66" s="2" t="s">
        <v>581</v>
      </c>
      <c r="D66" s="2" t="s">
        <v>250</v>
      </c>
      <c r="E66" s="2" t="s">
        <v>533</v>
      </c>
      <c r="F66" s="2" t="s">
        <v>572</v>
      </c>
      <c r="G66" s="10" t="s">
        <v>259</v>
      </c>
      <c r="H66" s="2" t="s">
        <v>582</v>
      </c>
      <c r="I66" s="2" t="s">
        <v>542</v>
      </c>
      <c r="J66" s="2" t="s">
        <v>583</v>
      </c>
      <c r="K66" s="2"/>
      <c r="L66" s="10" t="s">
        <v>240</v>
      </c>
      <c r="M66" s="2"/>
      <c r="N66" s="2"/>
    </row>
    <row r="67" spans="1:14" ht="25.5" x14ac:dyDescent="0.25">
      <c r="A67" s="9" t="s">
        <v>584</v>
      </c>
      <c r="B67" s="10" t="s">
        <v>40</v>
      </c>
      <c r="C67" s="2" t="s">
        <v>585</v>
      </c>
      <c r="D67" s="2" t="s">
        <v>71</v>
      </c>
      <c r="E67" s="2" t="s">
        <v>533</v>
      </c>
      <c r="F67" s="2" t="s">
        <v>586</v>
      </c>
      <c r="G67" s="10" t="s">
        <v>259</v>
      </c>
      <c r="H67" s="2" t="s">
        <v>587</v>
      </c>
      <c r="I67" s="2" t="s">
        <v>542</v>
      </c>
      <c r="J67" s="2" t="s">
        <v>588</v>
      </c>
      <c r="K67" s="2"/>
      <c r="L67" s="10" t="s">
        <v>240</v>
      </c>
      <c r="M67" s="2"/>
      <c r="N67" s="2"/>
    </row>
    <row r="68" spans="1:14" ht="25.5" x14ac:dyDescent="0.25">
      <c r="A68" s="9" t="s">
        <v>605</v>
      </c>
      <c r="B68" s="10" t="s">
        <v>42</v>
      </c>
      <c r="C68" s="2" t="s">
        <v>606</v>
      </c>
      <c r="D68" s="2" t="s">
        <v>250</v>
      </c>
      <c r="E68" s="2" t="s">
        <v>607</v>
      </c>
      <c r="F68" s="2" t="s">
        <v>602</v>
      </c>
      <c r="G68" s="10" t="s">
        <v>259</v>
      </c>
      <c r="H68" s="2" t="s">
        <v>535</v>
      </c>
      <c r="I68" s="2" t="s">
        <v>608</v>
      </c>
      <c r="J68" s="2" t="s">
        <v>609</v>
      </c>
      <c r="K68" s="2"/>
      <c r="L68" s="10" t="s">
        <v>240</v>
      </c>
      <c r="M68" s="2"/>
      <c r="N68" s="2"/>
    </row>
    <row r="69" spans="1:14" ht="25.5" x14ac:dyDescent="0.25">
      <c r="A69" s="9" t="s">
        <v>634</v>
      </c>
      <c r="B69" s="10" t="s">
        <v>44</v>
      </c>
      <c r="C69" s="2" t="s">
        <v>635</v>
      </c>
      <c r="D69" s="2" t="s">
        <v>71</v>
      </c>
      <c r="E69" s="2" t="s">
        <v>533</v>
      </c>
      <c r="F69" s="2" t="s">
        <v>636</v>
      </c>
      <c r="G69" s="10" t="s">
        <v>259</v>
      </c>
      <c r="H69" s="2" t="s">
        <v>637</v>
      </c>
      <c r="I69" s="2" t="s">
        <v>638</v>
      </c>
      <c r="J69" s="2" t="s">
        <v>639</v>
      </c>
      <c r="K69" s="2"/>
      <c r="L69" s="10" t="s">
        <v>240</v>
      </c>
      <c r="M69" s="2"/>
      <c r="N69" s="2"/>
    </row>
  </sheetData>
  <autoFilter ref="A1:N69" xr:uid="{00000000-0009-0000-0000-000003000000}">
    <sortState xmlns:xlrd2="http://schemas.microsoft.com/office/spreadsheetml/2017/richdata2" ref="A2:N69">
      <sortCondition ref="G1:G69"/>
    </sortState>
  </autoFilter>
  <conditionalFormatting sqref="L2:L399">
    <cfRule type="cellIs" dxfId="2" priority="2" operator="equal">
      <formula>"PASS"</formula>
    </cfRule>
    <cfRule type="cellIs" dxfId="1" priority="3" operator="equal">
      <formula>"FAIL"</formula>
    </cfRule>
    <cfRule type="cellIs" dxfId="0" priority="4" operator="equal">
      <formula>"Chưa chạy"</formula>
    </cfRule>
  </conditionalFormatting>
  <dataValidations count="3">
    <dataValidation type="list" allowBlank="1" sqref="D2:D399" xr:uid="{00000000-0002-0000-0300-000000000000}">
      <formula1>"Happy path,Negative,Boundary,Alternative flow,Phi chức năng"</formula1>
      <formula2>0</formula2>
    </dataValidation>
    <dataValidation type="list" allowBlank="1" sqref="G2:G399" xr:uid="{00000000-0002-0000-0300-000001000000}">
      <formula1>"Cao,Trung,Thấp"</formula1>
      <formula2>0</formula2>
    </dataValidation>
    <dataValidation type="list" allowBlank="1" sqref="L2:L399" xr:uid="{00000000-0002-0000-0300-000002000000}">
      <formula1>"Chưa chạy,PASS,FAIL"</formula1>
      <formula2>0</formula2>
    </dataValidation>
  </dataValidations>
  <hyperlinks>
    <hyperlink ref="M2" r:id="rId1" xr:uid="{50F66AAF-B0D6-4015-AE81-202020A4C517}"/>
    <hyperlink ref="M3" r:id="rId2" xr:uid="{A82CC3A9-D097-4E0D-BC9C-E140A8961EB2}"/>
    <hyperlink ref="M4" r:id="rId3" xr:uid="{08D47271-6BFF-47CF-A4E0-50C3B7CBE0C6}"/>
    <hyperlink ref="M5" r:id="rId4" xr:uid="{9F651E7B-E02C-482C-A9C3-B48CE366708D}"/>
    <hyperlink ref="M6" r:id="rId5" xr:uid="{A864ECE4-9FCB-49E2-B4CA-C451B08DAD6B}"/>
  </hyperlink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00000"/>
  </sheetPr>
  <dimension ref="A1:J7"/>
  <sheetViews>
    <sheetView zoomScale="90" zoomScaleNormal="90" workbookViewId="0">
      <pane xSplit="2" ySplit="2" topLeftCell="C3" activePane="bottomRight" state="frozen"/>
      <selection pane="topRight" activeCell="C1" sqref="C1"/>
      <selection pane="bottomLeft" activeCell="A3" sqref="A3"/>
      <selection pane="bottomRight"/>
    </sheetView>
  </sheetViews>
  <sheetFormatPr defaultColWidth="8.7109375" defaultRowHeight="15" x14ac:dyDescent="0.25"/>
  <cols>
    <col min="1" max="1" width="16" customWidth="1"/>
    <col min="2" max="2" width="12" customWidth="1"/>
    <col min="3" max="3" width="40" customWidth="1"/>
    <col min="4" max="4" width="46" customWidth="1"/>
    <col min="5" max="6" width="34" customWidth="1"/>
    <col min="7" max="7" width="14" customWidth="1"/>
    <col min="8" max="8" width="12" customWidth="1"/>
    <col min="9" max="10" width="14" customWidth="1"/>
  </cols>
  <sheetData>
    <row r="1" spans="1:10" x14ac:dyDescent="0.25">
      <c r="A1" s="4" t="s">
        <v>650</v>
      </c>
    </row>
    <row r="2" spans="1:10" ht="31.5" customHeight="1" x14ac:dyDescent="0.25">
      <c r="A2" s="8" t="s">
        <v>651</v>
      </c>
      <c r="B2" s="8" t="s">
        <v>652</v>
      </c>
      <c r="C2" s="8" t="s">
        <v>653</v>
      </c>
      <c r="D2" s="8" t="s">
        <v>654</v>
      </c>
      <c r="E2" s="8" t="s">
        <v>655</v>
      </c>
      <c r="F2" s="8" t="s">
        <v>656</v>
      </c>
      <c r="G2" s="8" t="s">
        <v>657</v>
      </c>
      <c r="H2" s="12" t="s">
        <v>658</v>
      </c>
      <c r="I2" s="12" t="s">
        <v>659</v>
      </c>
      <c r="J2" s="12" t="s">
        <v>660</v>
      </c>
    </row>
    <row r="3" spans="1:10" ht="51" x14ac:dyDescent="0.25">
      <c r="A3" s="13" t="s">
        <v>661</v>
      </c>
      <c r="B3" s="13" t="s">
        <v>350</v>
      </c>
      <c r="C3" s="14" t="s">
        <v>662</v>
      </c>
      <c r="D3" s="14" t="s">
        <v>663</v>
      </c>
      <c r="E3" s="14" t="s">
        <v>664</v>
      </c>
      <c r="F3" s="14" t="s">
        <v>665</v>
      </c>
      <c r="G3" s="13" t="s">
        <v>666</v>
      </c>
      <c r="H3" s="13" t="s">
        <v>29</v>
      </c>
      <c r="I3" s="13" t="s">
        <v>667</v>
      </c>
      <c r="J3" s="14"/>
    </row>
    <row r="4" spans="1:10" x14ac:dyDescent="0.25">
      <c r="A4" s="2"/>
      <c r="B4" s="2"/>
      <c r="C4" s="2"/>
      <c r="D4" s="2"/>
      <c r="E4" s="2"/>
      <c r="F4" s="2"/>
      <c r="G4" s="2"/>
      <c r="H4" s="2"/>
      <c r="I4" s="2"/>
      <c r="J4" s="2"/>
    </row>
    <row r="5" spans="1:10" x14ac:dyDescent="0.25">
      <c r="A5" s="2"/>
      <c r="B5" s="2"/>
      <c r="C5" s="2"/>
      <c r="D5" s="2"/>
      <c r="E5" s="2"/>
      <c r="F5" s="2"/>
      <c r="G5" s="2"/>
      <c r="H5" s="2"/>
      <c r="I5" s="2"/>
      <c r="J5" s="2"/>
    </row>
    <row r="6" spans="1:10" x14ac:dyDescent="0.25">
      <c r="A6" s="2"/>
      <c r="B6" s="2"/>
      <c r="C6" s="2"/>
      <c r="D6" s="2"/>
      <c r="E6" s="2"/>
      <c r="F6" s="2"/>
      <c r="G6" s="2"/>
      <c r="H6" s="2"/>
      <c r="I6" s="2"/>
      <c r="J6" s="2"/>
    </row>
    <row r="7" spans="1:10" x14ac:dyDescent="0.25">
      <c r="A7" s="2"/>
      <c r="B7" s="2"/>
      <c r="C7" s="2"/>
      <c r="D7" s="2"/>
      <c r="E7" s="2"/>
      <c r="F7" s="2"/>
      <c r="G7" s="2"/>
      <c r="H7" s="2"/>
      <c r="I7" s="2"/>
      <c r="J7" s="2"/>
    </row>
  </sheetData>
  <dataValidations count="2">
    <dataValidation type="list" allowBlank="1" sqref="G3:G300" xr:uid="{00000000-0002-0000-0400-000000000000}">
      <formula1>"Critical,High,Medium,Low"</formula1>
      <formula2>0</formula2>
    </dataValidation>
    <dataValidation type="list" allowBlank="1" sqref="I3:I300" xr:uid="{00000000-0002-0000-0400-000001000000}">
      <formula1>"Mới,Đang sửa,Đã sửa,Đã retest đạt,Retest lỗi lại"</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548235"/>
  </sheetPr>
  <dimension ref="A1:J36"/>
  <sheetViews>
    <sheetView showGridLines="0" zoomScale="90" zoomScaleNormal="90" workbookViewId="0"/>
  </sheetViews>
  <sheetFormatPr defaultColWidth="8.7109375" defaultRowHeight="15" x14ac:dyDescent="0.25"/>
  <cols>
    <col min="1" max="1" width="18" customWidth="1"/>
    <col min="2" max="2" width="44" customWidth="1"/>
    <col min="3" max="3" width="14" customWidth="1"/>
    <col min="4" max="8" width="12" customWidth="1"/>
    <col min="9" max="9" width="16" customWidth="1"/>
    <col min="10" max="10" width="12" customWidth="1"/>
  </cols>
  <sheetData>
    <row r="1" spans="1:10" ht="18" x14ac:dyDescent="0.25">
      <c r="A1" s="3" t="s">
        <v>668</v>
      </c>
    </row>
    <row r="2" spans="1:10" x14ac:dyDescent="0.25">
      <c r="A2" s="4" t="s">
        <v>669</v>
      </c>
    </row>
    <row r="4" spans="1:10" ht="31.5" customHeight="1" x14ac:dyDescent="0.25">
      <c r="A4" s="8" t="s">
        <v>14</v>
      </c>
      <c r="B4" s="8" t="s">
        <v>15</v>
      </c>
      <c r="C4" s="8" t="s">
        <v>670</v>
      </c>
      <c r="D4" s="8" t="s">
        <v>671</v>
      </c>
      <c r="E4" s="8" t="s">
        <v>672</v>
      </c>
      <c r="F4" s="8" t="s">
        <v>673</v>
      </c>
      <c r="G4" s="8" t="s">
        <v>674</v>
      </c>
      <c r="H4" s="8" t="s">
        <v>240</v>
      </c>
      <c r="I4" s="8" t="s">
        <v>675</v>
      </c>
      <c r="J4" s="8" t="s">
        <v>676</v>
      </c>
    </row>
    <row r="5" spans="1:10" x14ac:dyDescent="0.25">
      <c r="A5" s="9" t="s">
        <v>21</v>
      </c>
      <c r="B5" s="2" t="s">
        <v>22</v>
      </c>
      <c r="C5" s="10" t="s">
        <v>25</v>
      </c>
      <c r="D5" s="10">
        <f>COUNTIF('Test Case'!$B:$B,$A5)</f>
        <v>11</v>
      </c>
      <c r="E5" s="10">
        <f t="shared" ref="E5:E12" si="0">F5+G5</f>
        <v>5</v>
      </c>
      <c r="F5" s="10">
        <f>COUNTIFS('Test Case'!$B:$B,$A5,'Test Case'!$L:$L,"PASS")</f>
        <v>5</v>
      </c>
      <c r="G5" s="10">
        <f>COUNTIFS('Test Case'!$B:$B,$A5,'Test Case'!$L:$L,"FAIL")</f>
        <v>0</v>
      </c>
      <c r="H5" s="10">
        <f t="shared" ref="H5:H12" si="1">D5-E5</f>
        <v>6</v>
      </c>
      <c r="I5" s="15">
        <f t="shared" ref="I5:I13" si="2">IF(E5=0,"-",F5/E5)</f>
        <v>1</v>
      </c>
      <c r="J5" s="10">
        <f>COUNTIFS('Bug Report'!$A:$A,"BUG-N5-*",'Bug Report'!$B:$B,"TC-"&amp;RIGHT($A5,2)&amp;"-*")</f>
        <v>0</v>
      </c>
    </row>
    <row r="6" spans="1:10" x14ac:dyDescent="0.25">
      <c r="A6" s="9" t="s">
        <v>26</v>
      </c>
      <c r="B6" s="2" t="s">
        <v>27</v>
      </c>
      <c r="C6" s="10" t="s">
        <v>25</v>
      </c>
      <c r="D6" s="10">
        <f>COUNTIF('Test Case'!$B:$B,$A6)</f>
        <v>11</v>
      </c>
      <c r="E6" s="10">
        <f t="shared" si="0"/>
        <v>0</v>
      </c>
      <c r="F6" s="10">
        <f>COUNTIFS('Test Case'!$B:$B,$A6,'Test Case'!$L:$L,"PASS")</f>
        <v>0</v>
      </c>
      <c r="G6" s="10">
        <f>COUNTIFS('Test Case'!$B:$B,$A6,'Test Case'!$L:$L,"FAIL")</f>
        <v>0</v>
      </c>
      <c r="H6" s="10">
        <f t="shared" si="1"/>
        <v>11</v>
      </c>
      <c r="I6" s="15" t="str">
        <f t="shared" si="2"/>
        <v>-</v>
      </c>
      <c r="J6" s="10">
        <f>COUNTIFS('Bug Report'!$A:$A,"BUG-N5-*",'Bug Report'!$B:$B,"TC-"&amp;RIGHT($A6,2)&amp;"-*")</f>
        <v>0</v>
      </c>
    </row>
    <row r="7" spans="1:10" x14ac:dyDescent="0.25">
      <c r="A7" s="9" t="s">
        <v>30</v>
      </c>
      <c r="B7" s="2" t="s">
        <v>31</v>
      </c>
      <c r="C7" s="10" t="s">
        <v>25</v>
      </c>
      <c r="D7" s="10">
        <f>COUNTIF('Test Case'!$B:$B,$A7)</f>
        <v>13</v>
      </c>
      <c r="E7" s="10">
        <f t="shared" si="0"/>
        <v>0</v>
      </c>
      <c r="F7" s="10">
        <f>COUNTIFS('Test Case'!$B:$B,$A7,'Test Case'!$L:$L,"PASS")</f>
        <v>0</v>
      </c>
      <c r="G7" s="10">
        <f>COUNTIFS('Test Case'!$B:$B,$A7,'Test Case'!$L:$L,"FAIL")</f>
        <v>0</v>
      </c>
      <c r="H7" s="10">
        <f t="shared" si="1"/>
        <v>13</v>
      </c>
      <c r="I7" s="15" t="str">
        <f t="shared" si="2"/>
        <v>-</v>
      </c>
      <c r="J7" s="10">
        <f>COUNTIFS('Bug Report'!$A:$A,"BUG-N5-*",'Bug Report'!$B:$B,"TC-"&amp;RIGHT($A7,2)&amp;"-*")</f>
        <v>0</v>
      </c>
    </row>
    <row r="8" spans="1:10" ht="25.5" x14ac:dyDescent="0.25">
      <c r="A8" s="9" t="s">
        <v>32</v>
      </c>
      <c r="B8" s="2" t="s">
        <v>33</v>
      </c>
      <c r="C8" s="10" t="s">
        <v>25</v>
      </c>
      <c r="D8" s="10">
        <f>COUNTIF('Test Case'!$B:$B,$A8)</f>
        <v>11</v>
      </c>
      <c r="E8" s="10">
        <f t="shared" si="0"/>
        <v>0</v>
      </c>
      <c r="F8" s="10">
        <f>COUNTIFS('Test Case'!$B:$B,$A8,'Test Case'!$L:$L,"PASS")</f>
        <v>0</v>
      </c>
      <c r="G8" s="10">
        <f>COUNTIFS('Test Case'!$B:$B,$A8,'Test Case'!$L:$L,"FAIL")</f>
        <v>0</v>
      </c>
      <c r="H8" s="10">
        <f t="shared" si="1"/>
        <v>11</v>
      </c>
      <c r="I8" s="15" t="str">
        <f t="shared" si="2"/>
        <v>-</v>
      </c>
      <c r="J8" s="10">
        <f>COUNTIFS('Bug Report'!$A:$A,"BUG-N5-*",'Bug Report'!$B:$B,"TC-"&amp;RIGHT($A8,2)&amp;"-*")</f>
        <v>0</v>
      </c>
    </row>
    <row r="9" spans="1:10" x14ac:dyDescent="0.25">
      <c r="A9" s="9" t="s">
        <v>35</v>
      </c>
      <c r="B9" s="2" t="s">
        <v>36</v>
      </c>
      <c r="C9" s="10" t="s">
        <v>39</v>
      </c>
      <c r="D9" s="10">
        <f>COUNTIF('Test Case'!$B:$B,$A9)</f>
        <v>5</v>
      </c>
      <c r="E9" s="10">
        <f t="shared" si="0"/>
        <v>0</v>
      </c>
      <c r="F9" s="10">
        <f>COUNTIFS('Test Case'!$B:$B,$A9,'Test Case'!$L:$L,"PASS")</f>
        <v>0</v>
      </c>
      <c r="G9" s="10">
        <f>COUNTIFS('Test Case'!$B:$B,$A9,'Test Case'!$L:$L,"FAIL")</f>
        <v>0</v>
      </c>
      <c r="H9" s="10">
        <f t="shared" si="1"/>
        <v>5</v>
      </c>
      <c r="I9" s="15" t="str">
        <f t="shared" si="2"/>
        <v>-</v>
      </c>
      <c r="J9" s="10">
        <f>COUNTIFS('Bug Report'!$A:$A,"BUG-N5-*",'Bug Report'!$B:$B,"TC-"&amp;RIGHT($A9,2)&amp;"-*")</f>
        <v>0</v>
      </c>
    </row>
    <row r="10" spans="1:10" x14ac:dyDescent="0.25">
      <c r="A10" s="9" t="s">
        <v>40</v>
      </c>
      <c r="B10" s="2" t="s">
        <v>41</v>
      </c>
      <c r="C10" s="10" t="s">
        <v>39</v>
      </c>
      <c r="D10" s="10">
        <f>COUNTIF('Test Case'!$B:$B,$A10)</f>
        <v>6</v>
      </c>
      <c r="E10" s="10">
        <f t="shared" si="0"/>
        <v>0</v>
      </c>
      <c r="F10" s="10">
        <f>COUNTIFS('Test Case'!$B:$B,$A10,'Test Case'!$L:$L,"PASS")</f>
        <v>0</v>
      </c>
      <c r="G10" s="10">
        <f>COUNTIFS('Test Case'!$B:$B,$A10,'Test Case'!$L:$L,"FAIL")</f>
        <v>0</v>
      </c>
      <c r="H10" s="10">
        <f t="shared" si="1"/>
        <v>6</v>
      </c>
      <c r="I10" s="15" t="str">
        <f t="shared" si="2"/>
        <v>-</v>
      </c>
      <c r="J10" s="10">
        <f>COUNTIFS('Bug Report'!$A:$A,"BUG-N5-*",'Bug Report'!$B:$B,"TC-"&amp;RIGHT($A10,2)&amp;"-*")</f>
        <v>0</v>
      </c>
    </row>
    <row r="11" spans="1:10" x14ac:dyDescent="0.25">
      <c r="A11" s="9" t="s">
        <v>42</v>
      </c>
      <c r="B11" s="2" t="s">
        <v>43</v>
      </c>
      <c r="C11" s="10" t="s">
        <v>39</v>
      </c>
      <c r="D11" s="10">
        <f>COUNTIF('Test Case'!$B:$B,$A11)</f>
        <v>5</v>
      </c>
      <c r="E11" s="10">
        <f t="shared" si="0"/>
        <v>0</v>
      </c>
      <c r="F11" s="10">
        <f>COUNTIFS('Test Case'!$B:$B,$A11,'Test Case'!$L:$L,"PASS")</f>
        <v>0</v>
      </c>
      <c r="G11" s="10">
        <f>COUNTIFS('Test Case'!$B:$B,$A11,'Test Case'!$L:$L,"FAIL")</f>
        <v>0</v>
      </c>
      <c r="H11" s="10">
        <f t="shared" si="1"/>
        <v>5</v>
      </c>
      <c r="I11" s="15" t="str">
        <f t="shared" si="2"/>
        <v>-</v>
      </c>
      <c r="J11" s="10">
        <f>COUNTIFS('Bug Report'!$A:$A,"BUG-N5-*",'Bug Report'!$B:$B,"TC-"&amp;RIGHT($A11,2)&amp;"-*")</f>
        <v>0</v>
      </c>
    </row>
    <row r="12" spans="1:10" x14ac:dyDescent="0.25">
      <c r="A12" s="9" t="s">
        <v>44</v>
      </c>
      <c r="B12" s="2" t="s">
        <v>45</v>
      </c>
      <c r="C12" s="10" t="s">
        <v>39</v>
      </c>
      <c r="D12" s="10">
        <f>COUNTIF('Test Case'!$B:$B,$A12)</f>
        <v>6</v>
      </c>
      <c r="E12" s="10">
        <f t="shared" si="0"/>
        <v>0</v>
      </c>
      <c r="F12" s="10">
        <f>COUNTIFS('Test Case'!$B:$B,$A12,'Test Case'!$L:$L,"PASS")</f>
        <v>0</v>
      </c>
      <c r="G12" s="10">
        <f>COUNTIFS('Test Case'!$B:$B,$A12,'Test Case'!$L:$L,"FAIL")</f>
        <v>0</v>
      </c>
      <c r="H12" s="10">
        <f t="shared" si="1"/>
        <v>6</v>
      </c>
      <c r="I12" s="15" t="str">
        <f t="shared" si="2"/>
        <v>-</v>
      </c>
      <c r="J12" s="10">
        <f>COUNTIFS('Bug Report'!$A:$A,"BUG-N5-*",'Bug Report'!$B:$B,"TC-"&amp;RIGHT($A12,2)&amp;"-*")</f>
        <v>0</v>
      </c>
    </row>
    <row r="13" spans="1:10" x14ac:dyDescent="0.25">
      <c r="A13" s="16" t="s">
        <v>677</v>
      </c>
      <c r="B13" s="7" t="s">
        <v>678</v>
      </c>
      <c r="C13" s="17"/>
      <c r="D13" s="16">
        <f>SUM(D5:D12)</f>
        <v>68</v>
      </c>
      <c r="E13" s="16">
        <f>SUM(E5:E12)</f>
        <v>5</v>
      </c>
      <c r="F13" s="16">
        <f>SUM(F5:F12)</f>
        <v>5</v>
      </c>
      <c r="G13" s="16">
        <f>SUM(G5:G12)</f>
        <v>0</v>
      </c>
      <c r="H13" s="16">
        <f>SUM(H5:H12)</f>
        <v>63</v>
      </c>
      <c r="I13" s="18">
        <f t="shared" si="2"/>
        <v>1</v>
      </c>
      <c r="J13" s="16">
        <f>SUM(J5:J12)</f>
        <v>0</v>
      </c>
    </row>
    <row r="15" spans="1:10" x14ac:dyDescent="0.25">
      <c r="A15" s="19" t="s">
        <v>679</v>
      </c>
    </row>
    <row r="16" spans="1:10" ht="31.5" customHeight="1" x14ac:dyDescent="0.25">
      <c r="A16" s="8" t="s">
        <v>220</v>
      </c>
      <c r="B16" s="8"/>
      <c r="C16" s="8"/>
      <c r="D16" s="8" t="s">
        <v>671</v>
      </c>
      <c r="E16" s="8" t="s">
        <v>673</v>
      </c>
      <c r="F16" s="8" t="s">
        <v>674</v>
      </c>
    </row>
    <row r="17" spans="1:10" x14ac:dyDescent="0.25">
      <c r="A17" s="11" t="s">
        <v>233</v>
      </c>
      <c r="B17" s="2"/>
      <c r="C17" s="2"/>
      <c r="D17" s="10">
        <f>COUNTIF('Test Case'!$D:$D,$A17)</f>
        <v>16</v>
      </c>
      <c r="E17" s="10">
        <f>COUNTIFS('Test Case'!$D:$D,$A17,'Test Case'!$L:$L,"PASS")</f>
        <v>2</v>
      </c>
      <c r="F17" s="10">
        <f>COUNTIFS('Test Case'!$D:$D,$A17,'Test Case'!$L:$L,"FAIL")</f>
        <v>0</v>
      </c>
    </row>
    <row r="18" spans="1:10" x14ac:dyDescent="0.25">
      <c r="A18" s="11" t="s">
        <v>250</v>
      </c>
      <c r="B18" s="2"/>
      <c r="C18" s="2"/>
      <c r="D18" s="10">
        <f>COUNTIF('Test Case'!$D:$D,$A18)</f>
        <v>20</v>
      </c>
      <c r="E18" s="10">
        <f>COUNTIFS('Test Case'!$D:$D,$A18,'Test Case'!$L:$L,"PASS")</f>
        <v>2</v>
      </c>
      <c r="F18" s="10">
        <f>COUNTIFS('Test Case'!$D:$D,$A18,'Test Case'!$L:$L,"FAIL")</f>
        <v>0</v>
      </c>
    </row>
    <row r="19" spans="1:10" x14ac:dyDescent="0.25">
      <c r="A19" s="11" t="s">
        <v>270</v>
      </c>
      <c r="B19" s="2"/>
      <c r="C19" s="2"/>
      <c r="D19" s="10">
        <f>COUNTIF('Test Case'!$D:$D,$A19)</f>
        <v>12</v>
      </c>
      <c r="E19" s="10">
        <f>COUNTIFS('Test Case'!$D:$D,$A19,'Test Case'!$L:$L,"PASS")</f>
        <v>1</v>
      </c>
      <c r="F19" s="10">
        <f>COUNTIFS('Test Case'!$D:$D,$A19,'Test Case'!$L:$L,"FAIL")</f>
        <v>0</v>
      </c>
    </row>
    <row r="20" spans="1:10" x14ac:dyDescent="0.25">
      <c r="A20" s="11" t="s">
        <v>71</v>
      </c>
      <c r="B20" s="2"/>
      <c r="C20" s="2"/>
      <c r="D20" s="10">
        <f>COUNTIF('Test Case'!$D:$D,$A20)</f>
        <v>19</v>
      </c>
      <c r="E20" s="10">
        <f>COUNTIFS('Test Case'!$D:$D,$A20,'Test Case'!$L:$L,"PASS")</f>
        <v>0</v>
      </c>
      <c r="F20" s="10">
        <f>COUNTIFS('Test Case'!$D:$D,$A20,'Test Case'!$L:$L,"FAIL")</f>
        <v>0</v>
      </c>
    </row>
    <row r="21" spans="1:10" x14ac:dyDescent="0.25">
      <c r="A21" s="11" t="s">
        <v>525</v>
      </c>
      <c r="B21" s="2"/>
      <c r="C21" s="2"/>
      <c r="D21" s="10">
        <f>COUNTIF('Test Case'!$D:$D,$A21)</f>
        <v>1</v>
      </c>
      <c r="E21" s="10">
        <f>COUNTIFS('Test Case'!$D:$D,$A21,'Test Case'!$L:$L,"PASS")</f>
        <v>0</v>
      </c>
      <c r="F21" s="10">
        <f>COUNTIFS('Test Case'!$D:$D,$A21,'Test Case'!$L:$L,"FAIL")</f>
        <v>0</v>
      </c>
    </row>
    <row r="24" spans="1:10" x14ac:dyDescent="0.25">
      <c r="A24" s="19" t="s">
        <v>680</v>
      </c>
    </row>
    <row r="25" spans="1:10" ht="31.5" customHeight="1" x14ac:dyDescent="0.25">
      <c r="A25" s="8" t="s">
        <v>681</v>
      </c>
      <c r="B25" s="8"/>
      <c r="C25" s="8"/>
      <c r="D25" s="8" t="s">
        <v>676</v>
      </c>
      <c r="E25" s="8" t="s">
        <v>682</v>
      </c>
      <c r="F25" s="8" t="s">
        <v>683</v>
      </c>
    </row>
    <row r="26" spans="1:10" x14ac:dyDescent="0.25">
      <c r="A26" s="11" t="s">
        <v>684</v>
      </c>
      <c r="B26" s="2"/>
      <c r="C26" s="2"/>
      <c r="D26" s="10">
        <f>COUNTIFS('Bug Report'!$A:$A,"BUG-N5-*",'Bug Report'!$G:$G,$A26)</f>
        <v>0</v>
      </c>
      <c r="E26" s="10">
        <f>COUNTIFS('Bug Report'!$A:$A,"BUG-N5-*",'Bug Report'!$G:$G,$A26,'Bug Report'!$I:$I,"Đã retest đạt")</f>
        <v>0</v>
      </c>
      <c r="F26" s="10">
        <f>D26-E26</f>
        <v>0</v>
      </c>
    </row>
    <row r="27" spans="1:10" x14ac:dyDescent="0.25">
      <c r="A27" s="11" t="s">
        <v>666</v>
      </c>
      <c r="B27" s="2"/>
      <c r="C27" s="2"/>
      <c r="D27" s="10">
        <f>COUNTIFS('Bug Report'!$A:$A,"BUG-N5-*",'Bug Report'!$G:$G,$A27)</f>
        <v>0</v>
      </c>
      <c r="E27" s="10">
        <f>COUNTIFS('Bug Report'!$A:$A,"BUG-N5-*",'Bug Report'!$G:$G,$A27,'Bug Report'!$I:$I,"Đã retest đạt")</f>
        <v>0</v>
      </c>
      <c r="F27" s="10">
        <f>D27-E27</f>
        <v>0</v>
      </c>
    </row>
    <row r="28" spans="1:10" x14ac:dyDescent="0.25">
      <c r="A28" s="11" t="s">
        <v>685</v>
      </c>
      <c r="B28" s="2"/>
      <c r="C28" s="2"/>
      <c r="D28" s="10">
        <f>COUNTIFS('Bug Report'!$A:$A,"BUG-N5-*",'Bug Report'!$G:$G,$A28)</f>
        <v>0</v>
      </c>
      <c r="E28" s="10">
        <f>COUNTIFS('Bug Report'!$A:$A,"BUG-N5-*",'Bug Report'!$G:$G,$A28,'Bug Report'!$I:$I,"Đã retest đạt")</f>
        <v>0</v>
      </c>
      <c r="F28" s="10">
        <f>D28-E28</f>
        <v>0</v>
      </c>
    </row>
    <row r="29" spans="1:10" x14ac:dyDescent="0.25">
      <c r="A29" s="11" t="s">
        <v>686</v>
      </c>
      <c r="B29" s="2"/>
      <c r="C29" s="2"/>
      <c r="D29" s="10">
        <f>COUNTIFS('Bug Report'!$A:$A,"BUG-N5-*",'Bug Report'!$G:$G,$A29)</f>
        <v>0</v>
      </c>
      <c r="E29" s="10">
        <f>COUNTIFS('Bug Report'!$A:$A,"BUG-N5-*",'Bug Report'!$G:$G,$A29,'Bug Report'!$I:$I,"Đã retest đạt")</f>
        <v>0</v>
      </c>
      <c r="F29" s="10">
        <f>D29-E29</f>
        <v>0</v>
      </c>
    </row>
    <row r="31" spans="1:10" x14ac:dyDescent="0.25">
      <c r="A31" s="19" t="s">
        <v>687</v>
      </c>
    </row>
    <row r="32" spans="1:10" ht="19.5" customHeight="1" x14ac:dyDescent="0.25">
      <c r="A32" s="7" t="s">
        <v>688</v>
      </c>
      <c r="B32" s="22" t="str">
        <f>"Đã chạy "&amp;E13&amp;" / "&amp;D13&amp;" TC; PASS "&amp;F13&amp;"; FAIL "&amp;G13&amp;"; tỉ lệ pass "&amp;IF(E13=0,"-",TEXT(F13/E13,"0.0%"))</f>
        <v>Đã chạy 5 / 68 TC; PASS 5; FAIL 0; tỉ lệ pass 100.0%</v>
      </c>
      <c r="C32" s="22"/>
      <c r="D32" s="22"/>
      <c r="E32" s="22"/>
      <c r="F32" s="22"/>
      <c r="G32" s="22"/>
      <c r="H32" s="22"/>
      <c r="I32" s="22"/>
      <c r="J32" s="22"/>
    </row>
    <row r="33" spans="1:10" ht="48" customHeight="1" x14ac:dyDescent="0.25">
      <c r="A33" s="7" t="s">
        <v>689</v>
      </c>
      <c r="B33" s="23"/>
      <c r="C33" s="23"/>
      <c r="D33" s="23"/>
      <c r="E33" s="23"/>
      <c r="F33" s="23"/>
      <c r="G33" s="23"/>
      <c r="H33" s="23"/>
      <c r="I33" s="23"/>
      <c r="J33" s="23"/>
    </row>
    <row r="34" spans="1:10" ht="48" customHeight="1" x14ac:dyDescent="0.25">
      <c r="A34" s="7" t="s">
        <v>690</v>
      </c>
      <c r="B34" s="23"/>
      <c r="C34" s="23"/>
      <c r="D34" s="23"/>
      <c r="E34" s="23"/>
      <c r="F34" s="23"/>
      <c r="G34" s="23"/>
      <c r="H34" s="23"/>
      <c r="I34" s="23"/>
      <c r="J34" s="23"/>
    </row>
    <row r="35" spans="1:10" ht="48" customHeight="1" x14ac:dyDescent="0.25">
      <c r="A35" s="7" t="s">
        <v>691</v>
      </c>
      <c r="B35" s="23"/>
      <c r="C35" s="23"/>
      <c r="D35" s="23"/>
      <c r="E35" s="23"/>
      <c r="F35" s="23"/>
      <c r="G35" s="23"/>
      <c r="H35" s="23"/>
      <c r="I35" s="23"/>
      <c r="J35" s="23"/>
    </row>
    <row r="36" spans="1:10" ht="48" customHeight="1" x14ac:dyDescent="0.25">
      <c r="A36" s="7" t="s">
        <v>692</v>
      </c>
      <c r="B36" s="23"/>
      <c r="C36" s="23"/>
      <c r="D36" s="23"/>
      <c r="E36" s="23"/>
      <c r="F36" s="23"/>
      <c r="G36" s="23"/>
      <c r="H36" s="23"/>
      <c r="I36" s="23"/>
      <c r="J36" s="23"/>
    </row>
  </sheetData>
  <mergeCells count="5">
    <mergeCell ref="B32:J32"/>
    <mergeCell ref="B33:J33"/>
    <mergeCell ref="B34:J34"/>
    <mergeCell ref="B35:J35"/>
    <mergeCell ref="B36:J36"/>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ED7D31"/>
  </sheetPr>
  <dimension ref="A1:H18"/>
  <sheetViews>
    <sheetView zoomScale="90" zoomScaleNormal="90" workbookViewId="0">
      <pane xSplit="2" ySplit="2" topLeftCell="C3" activePane="bottomRight" state="frozen"/>
      <selection pane="topRight" activeCell="C1" sqref="C1"/>
      <selection pane="bottomLeft" activeCell="A3" sqref="A3"/>
      <selection pane="bottomRight"/>
    </sheetView>
  </sheetViews>
  <sheetFormatPr defaultColWidth="8.7109375" defaultRowHeight="15" x14ac:dyDescent="0.25"/>
  <cols>
    <col min="1" max="1" width="7" customWidth="1"/>
    <col min="2" max="2" width="8" customWidth="1"/>
    <col min="3" max="3" width="54" customWidth="1"/>
    <col min="4" max="4" width="46" customWidth="1"/>
    <col min="5" max="5" width="14" customWidth="1"/>
    <col min="6" max="6" width="22" customWidth="1"/>
    <col min="7" max="7" width="36" customWidth="1"/>
    <col min="8" max="8" width="14" customWidth="1"/>
  </cols>
  <sheetData>
    <row r="1" spans="1:8" x14ac:dyDescent="0.25">
      <c r="A1" s="4" t="s">
        <v>693</v>
      </c>
    </row>
    <row r="2" spans="1:8" ht="31.5" customHeight="1" x14ac:dyDescent="0.25">
      <c r="A2" s="8" t="s">
        <v>694</v>
      </c>
      <c r="B2" s="8" t="s">
        <v>14</v>
      </c>
      <c r="C2" s="8" t="s">
        <v>695</v>
      </c>
      <c r="D2" s="8" t="s">
        <v>696</v>
      </c>
      <c r="E2" s="8" t="s">
        <v>697</v>
      </c>
      <c r="F2" s="8" t="s">
        <v>698</v>
      </c>
      <c r="G2" s="12" t="s">
        <v>699</v>
      </c>
      <c r="H2" s="12" t="s">
        <v>659</v>
      </c>
    </row>
    <row r="3" spans="1:8" ht="25.5" x14ac:dyDescent="0.25">
      <c r="A3" s="9" t="s">
        <v>700</v>
      </c>
      <c r="B3" s="10" t="s">
        <v>26</v>
      </c>
      <c r="C3" s="2" t="s">
        <v>701</v>
      </c>
      <c r="D3" s="2" t="s">
        <v>702</v>
      </c>
      <c r="E3" s="10" t="s">
        <v>29</v>
      </c>
      <c r="F3" s="2" t="s">
        <v>364</v>
      </c>
      <c r="G3" s="1"/>
      <c r="H3" s="20" t="s">
        <v>703</v>
      </c>
    </row>
    <row r="4" spans="1:8" ht="38.25" x14ac:dyDescent="0.25">
      <c r="A4" s="9" t="s">
        <v>704</v>
      </c>
      <c r="B4" s="10" t="s">
        <v>21</v>
      </c>
      <c r="C4" s="2" t="s">
        <v>705</v>
      </c>
      <c r="D4" s="2" t="s">
        <v>706</v>
      </c>
      <c r="E4" s="10" t="s">
        <v>24</v>
      </c>
      <c r="F4" s="2" t="s">
        <v>707</v>
      </c>
      <c r="G4" s="1"/>
      <c r="H4" s="20" t="s">
        <v>703</v>
      </c>
    </row>
    <row r="5" spans="1:8" ht="25.5" x14ac:dyDescent="0.25">
      <c r="A5" s="9" t="s">
        <v>708</v>
      </c>
      <c r="B5" s="10" t="s">
        <v>21</v>
      </c>
      <c r="C5" s="2" t="s">
        <v>709</v>
      </c>
      <c r="D5" s="2" t="s">
        <v>710</v>
      </c>
      <c r="E5" s="10" t="s">
        <v>24</v>
      </c>
      <c r="F5" s="2" t="s">
        <v>262</v>
      </c>
      <c r="G5" s="1"/>
      <c r="H5" s="20" t="s">
        <v>703</v>
      </c>
    </row>
    <row r="6" spans="1:8" ht="25.5" x14ac:dyDescent="0.25">
      <c r="A6" s="9" t="s">
        <v>711</v>
      </c>
      <c r="B6" s="10" t="s">
        <v>21</v>
      </c>
      <c r="C6" s="2" t="s">
        <v>712</v>
      </c>
      <c r="D6" s="2" t="s">
        <v>713</v>
      </c>
      <c r="E6" s="10" t="s">
        <v>714</v>
      </c>
      <c r="F6" s="2" t="s">
        <v>715</v>
      </c>
      <c r="G6" s="1"/>
      <c r="H6" s="20" t="s">
        <v>703</v>
      </c>
    </row>
    <row r="7" spans="1:8" ht="38.25" x14ac:dyDescent="0.25">
      <c r="A7" s="9" t="s">
        <v>716</v>
      </c>
      <c r="B7" s="10" t="s">
        <v>717</v>
      </c>
      <c r="C7" s="2" t="s">
        <v>718</v>
      </c>
      <c r="D7" s="2" t="s">
        <v>719</v>
      </c>
      <c r="E7" s="10" t="s">
        <v>720</v>
      </c>
      <c r="F7" s="2" t="s">
        <v>721</v>
      </c>
      <c r="G7" s="1"/>
      <c r="H7" s="20" t="s">
        <v>722</v>
      </c>
    </row>
    <row r="8" spans="1:8" ht="38.25" x14ac:dyDescent="0.25">
      <c r="A8" s="9" t="s">
        <v>723</v>
      </c>
      <c r="B8" s="10" t="s">
        <v>26</v>
      </c>
      <c r="C8" s="2" t="s">
        <v>724</v>
      </c>
      <c r="D8" s="2" t="s">
        <v>725</v>
      </c>
      <c r="E8" s="10" t="s">
        <v>29</v>
      </c>
      <c r="F8" s="2" t="s">
        <v>726</v>
      </c>
      <c r="G8" s="1"/>
      <c r="H8" s="20" t="s">
        <v>703</v>
      </c>
    </row>
    <row r="9" spans="1:8" ht="25.5" x14ac:dyDescent="0.25">
      <c r="A9" s="9" t="s">
        <v>727</v>
      </c>
      <c r="B9" s="10" t="s">
        <v>32</v>
      </c>
      <c r="C9" s="2" t="s">
        <v>728</v>
      </c>
      <c r="D9" s="2" t="s">
        <v>729</v>
      </c>
      <c r="E9" s="10" t="s">
        <v>29</v>
      </c>
      <c r="F9" s="2" t="s">
        <v>515</v>
      </c>
      <c r="G9" s="1"/>
      <c r="H9" s="20" t="s">
        <v>703</v>
      </c>
    </row>
    <row r="10" spans="1:8" ht="38.25" x14ac:dyDescent="0.25">
      <c r="A10" s="9" t="s">
        <v>730</v>
      </c>
      <c r="B10" s="10" t="s">
        <v>717</v>
      </c>
      <c r="C10" s="2" t="s">
        <v>731</v>
      </c>
      <c r="D10" s="2" t="s">
        <v>732</v>
      </c>
      <c r="E10" s="10" t="s">
        <v>29</v>
      </c>
      <c r="F10" s="2" t="s">
        <v>733</v>
      </c>
      <c r="G10" s="1"/>
      <c r="H10" s="20" t="s">
        <v>703</v>
      </c>
    </row>
    <row r="11" spans="1:8" ht="25.5" x14ac:dyDescent="0.25">
      <c r="A11" s="9" t="s">
        <v>734</v>
      </c>
      <c r="B11" s="10" t="s">
        <v>30</v>
      </c>
      <c r="C11" s="2" t="s">
        <v>735</v>
      </c>
      <c r="D11" s="2" t="s">
        <v>732</v>
      </c>
      <c r="E11" s="10" t="s">
        <v>29</v>
      </c>
      <c r="F11" s="2" t="s">
        <v>733</v>
      </c>
      <c r="G11" s="1"/>
      <c r="H11" s="20" t="s">
        <v>703</v>
      </c>
    </row>
    <row r="12" spans="1:8" ht="38.25" x14ac:dyDescent="0.25">
      <c r="A12" s="9" t="s">
        <v>736</v>
      </c>
      <c r="B12" s="10" t="s">
        <v>32</v>
      </c>
      <c r="C12" s="2" t="s">
        <v>737</v>
      </c>
      <c r="D12" s="2" t="s">
        <v>738</v>
      </c>
      <c r="E12" s="10" t="s">
        <v>29</v>
      </c>
      <c r="F12" s="2" t="s">
        <v>739</v>
      </c>
      <c r="G12" s="1"/>
      <c r="H12" s="20" t="s">
        <v>703</v>
      </c>
    </row>
    <row r="13" spans="1:8" ht="25.5" x14ac:dyDescent="0.25">
      <c r="A13" s="9" t="s">
        <v>740</v>
      </c>
      <c r="B13" s="10" t="s">
        <v>21</v>
      </c>
      <c r="C13" s="2" t="s">
        <v>741</v>
      </c>
      <c r="D13" s="2" t="s">
        <v>742</v>
      </c>
      <c r="E13" s="10" t="s">
        <v>743</v>
      </c>
      <c r="F13" s="2" t="s">
        <v>308</v>
      </c>
      <c r="G13" s="1"/>
      <c r="H13" s="20" t="s">
        <v>703</v>
      </c>
    </row>
    <row r="14" spans="1:8" ht="38.25" x14ac:dyDescent="0.25">
      <c r="A14" s="9" t="s">
        <v>744</v>
      </c>
      <c r="B14" s="10" t="s">
        <v>23</v>
      </c>
      <c r="C14" s="2" t="s">
        <v>745</v>
      </c>
      <c r="D14" s="2" t="s">
        <v>746</v>
      </c>
      <c r="E14" s="10" t="s">
        <v>747</v>
      </c>
      <c r="F14" s="2" t="s">
        <v>748</v>
      </c>
      <c r="G14" s="1"/>
      <c r="H14" s="20" t="s">
        <v>703</v>
      </c>
    </row>
    <row r="15" spans="1:8" ht="25.5" x14ac:dyDescent="0.25">
      <c r="A15" s="9" t="s">
        <v>749</v>
      </c>
      <c r="B15" s="10" t="s">
        <v>21</v>
      </c>
      <c r="C15" s="2" t="s">
        <v>750</v>
      </c>
      <c r="D15" s="2" t="s">
        <v>751</v>
      </c>
      <c r="E15" s="10" t="s">
        <v>24</v>
      </c>
      <c r="F15" s="2" t="s">
        <v>752</v>
      </c>
      <c r="G15" s="1"/>
      <c r="H15" s="20" t="s">
        <v>703</v>
      </c>
    </row>
    <row r="16" spans="1:8" ht="38.25" x14ac:dyDescent="0.25">
      <c r="A16" s="9" t="s">
        <v>753</v>
      </c>
      <c r="B16" s="10" t="s">
        <v>207</v>
      </c>
      <c r="C16" s="2" t="s">
        <v>754</v>
      </c>
      <c r="D16" s="2" t="s">
        <v>755</v>
      </c>
      <c r="E16" s="10" t="s">
        <v>24</v>
      </c>
      <c r="F16" s="2" t="s">
        <v>756</v>
      </c>
      <c r="G16" s="1"/>
      <c r="H16" s="20" t="s">
        <v>703</v>
      </c>
    </row>
    <row r="17" spans="1:8" ht="25.5" x14ac:dyDescent="0.25">
      <c r="A17" s="9" t="s">
        <v>757</v>
      </c>
      <c r="B17" s="10" t="s">
        <v>26</v>
      </c>
      <c r="C17" s="2" t="s">
        <v>758</v>
      </c>
      <c r="D17" s="2" t="s">
        <v>732</v>
      </c>
      <c r="E17" s="10" t="s">
        <v>29</v>
      </c>
      <c r="F17" s="2" t="s">
        <v>733</v>
      </c>
      <c r="G17" s="1"/>
      <c r="H17" s="20" t="s">
        <v>703</v>
      </c>
    </row>
    <row r="18" spans="1:8" ht="51" x14ac:dyDescent="0.25">
      <c r="A18" s="9" t="s">
        <v>759</v>
      </c>
      <c r="B18" s="10" t="s">
        <v>760</v>
      </c>
      <c r="C18" s="2" t="s">
        <v>761</v>
      </c>
      <c r="D18" s="2" t="s">
        <v>762</v>
      </c>
      <c r="E18" s="10" t="s">
        <v>714</v>
      </c>
      <c r="F18" s="2" t="s">
        <v>763</v>
      </c>
      <c r="G18" s="1"/>
      <c r="H18" s="20" t="s">
        <v>703</v>
      </c>
    </row>
  </sheetData>
  <dataValidations count="1">
    <dataValidation type="list" allowBlank="1" sqref="H3:H60" xr:uid="{00000000-0002-0000-0600-000000000000}">
      <formula1>"Chưa hỏi,Đã hỏi,Đã chốt"</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Test Plan</vt:lpstr>
      <vt:lpstr>Dữ liệu test</vt:lpstr>
      <vt:lpstr>SQL hỗ trợ</vt:lpstr>
      <vt:lpstr>Test Case</vt:lpstr>
      <vt:lpstr>Bug Report</vt:lpstr>
      <vt:lpstr>Tổng hợp</vt:lpstr>
      <vt:lpstr>Cần xác nhận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kiethoangsinhnam2006@gmail.com</cp:lastModifiedBy>
  <cp:revision>0</cp:revision>
  <dcterms:created xsi:type="dcterms:W3CDTF">2026-10-11T01:16:51Z</dcterms:created>
  <dcterms:modified xsi:type="dcterms:W3CDTF">2026-10-11T05:50:36Z</dcterms:modified>
  <dc:language>en-US</dc:language>
</cp:coreProperties>
</file>