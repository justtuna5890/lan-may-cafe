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3BEADF9E-365F-4929-B015-C20284DB86E7}" xr6:coauthVersionLast="47" xr6:coauthVersionMax="47" xr10:uidLastSave="{00000000-0000-0000-0000-000000000000}"/>
  <bookViews>
    <workbookView xWindow="-120" yWindow="-120" windowWidth="20730" windowHeight="11040" tabRatio="500" activeTab="3" xr2:uid="{00000000-000D-0000-FFFF-FFFF00000000}"/>
  </bookViews>
  <sheets>
    <sheet name="Test Plan" sheetId="1" r:id="rId1"/>
    <sheet name="Dữ liệu test" sheetId="2" r:id="rId2"/>
    <sheet name="SQL hỗ trợ" sheetId="3" r:id="rId3"/>
    <sheet name="Test Case" sheetId="4" r:id="rId4"/>
    <sheet name="Bug Report" sheetId="5" r:id="rId5"/>
    <sheet name="Tổng hợp" sheetId="6" r:id="rId6"/>
    <sheet name="Cần xác nhận" sheetId="7" r:id="rId7"/>
  </sheets>
  <definedNames>
    <definedName name="_xlnm._FilterDatabase" localSheetId="3" hidden="1">'Test Case'!$A$1:$O$69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9" i="6" l="1"/>
  <c r="D29" i="6"/>
  <c r="F29" i="6" s="1"/>
  <c r="E28" i="6"/>
  <c r="D28" i="6"/>
  <c r="F28" i="6" s="1"/>
  <c r="E27" i="6"/>
  <c r="D27" i="6"/>
  <c r="F27" i="6" s="1"/>
  <c r="E26" i="6"/>
  <c r="F26" i="6" s="1"/>
  <c r="D26" i="6"/>
  <c r="F21" i="6"/>
  <c r="E21" i="6"/>
  <c r="D21" i="6"/>
  <c r="F20" i="6"/>
  <c r="E20" i="6"/>
  <c r="D20" i="6"/>
  <c r="F19" i="6"/>
  <c r="E19" i="6"/>
  <c r="D19" i="6"/>
  <c r="F18" i="6"/>
  <c r="E18" i="6"/>
  <c r="D18" i="6"/>
  <c r="F17" i="6"/>
  <c r="E17" i="6"/>
  <c r="D17" i="6"/>
  <c r="J12" i="6"/>
  <c r="G12" i="6"/>
  <c r="F12" i="6"/>
  <c r="E12" i="6" s="1"/>
  <c r="D12" i="6"/>
  <c r="J11" i="6"/>
  <c r="G11" i="6"/>
  <c r="F11" i="6"/>
  <c r="D11" i="6"/>
  <c r="J10" i="6"/>
  <c r="G10" i="6"/>
  <c r="F10" i="6"/>
  <c r="E10" i="6" s="1"/>
  <c r="D10" i="6"/>
  <c r="J9" i="6"/>
  <c r="G9" i="6"/>
  <c r="F9" i="6"/>
  <c r="E9" i="6" s="1"/>
  <c r="D9" i="6"/>
  <c r="J8" i="6"/>
  <c r="G8" i="6"/>
  <c r="F8" i="6"/>
  <c r="E8" i="6" s="1"/>
  <c r="D8" i="6"/>
  <c r="J7" i="6"/>
  <c r="G7" i="6"/>
  <c r="F7" i="6"/>
  <c r="D7" i="6"/>
  <c r="J6" i="6"/>
  <c r="G6" i="6"/>
  <c r="F6" i="6"/>
  <c r="D6" i="6"/>
  <c r="J5" i="6"/>
  <c r="J13" i="6" s="1"/>
  <c r="G5" i="6"/>
  <c r="F5" i="6"/>
  <c r="E5" i="6" s="1"/>
  <c r="D5" i="6"/>
  <c r="G20" i="1"/>
  <c r="G19" i="1"/>
  <c r="G18" i="1"/>
  <c r="G17" i="1"/>
  <c r="G16" i="1"/>
  <c r="G15" i="1"/>
  <c r="G14" i="1"/>
  <c r="G13" i="1"/>
  <c r="E11" i="6" l="1"/>
  <c r="E6" i="6"/>
  <c r="E7" i="6"/>
  <c r="G13" i="6"/>
  <c r="F13" i="6"/>
  <c r="I12" i="6"/>
  <c r="H12" i="6"/>
  <c r="H10" i="6"/>
  <c r="I10" i="6"/>
  <c r="H8" i="6"/>
  <c r="I8" i="6"/>
  <c r="I5" i="6"/>
  <c r="H9" i="6"/>
  <c r="I9" i="6"/>
  <c r="D13" i="6"/>
  <c r="H5" i="6"/>
  <c r="H11" i="6" l="1"/>
  <c r="I11" i="6"/>
  <c r="H6" i="6"/>
  <c r="I6" i="6"/>
  <c r="E13" i="6"/>
  <c r="I13" i="6" s="1"/>
  <c r="H7" i="6"/>
  <c r="I7" i="6"/>
  <c r="B32" i="6"/>
  <c r="H13" i="6" l="1"/>
</calcChain>
</file>

<file path=xl/sharedStrings.xml><?xml version="1.0" encoding="utf-8"?>
<sst xmlns="http://schemas.openxmlformats.org/spreadsheetml/2006/main" count="1304" uniqueCount="833">
  <si>
    <t>TEST PLAN – Hệ thống quản lý quán cà phê Làn Mây (Nhóm 5)</t>
  </si>
  <si>
    <t>Ô nền vàng nhạt = ô cần điền thêm sau (môi trường test, kết quả). Các ô còn lại đã điền sẵn.</t>
  </si>
  <si>
    <t>1. Thông tin chung</t>
  </si>
  <si>
    <t>Dự án</t>
  </si>
  <si>
    <t>Lan May Cafe – Nhóm 5 (CNPM cuối kỳ), kiến trúc 3 tầng, Node.js + Express + MySQL 8</t>
  </si>
  <si>
    <t>Người lập</t>
  </si>
  <si>
    <t>Hoàng Anh Kiệt (24110264) – Trưởng kiểm thử</t>
  </si>
  <si>
    <t>Ngày lập / phiên bản</t>
  </si>
  <si>
    <t>Bản 0.2 (11/10/2026): dữ liệu test đã điền theo seed.sql, đã gộp test case của Duy (68 TC / 8 UC)</t>
  </si>
  <si>
    <t>Căn cứ</t>
  </si>
  <si>
    <t>Đề bài C6-D2; Bảng phân công cuối kỳ – Nhóm 5; docs/api-contract.md; schema.sql và seed.sql (nhánh develop); báo cáo cuối kỳ của nhóm. UC Spec, Sequence Diagram và Class Diagram chưa có trong tay, xem mục X12 ở sheet "Cần xác nhận".</t>
  </si>
  <si>
    <t>Mục tiêu</t>
  </si>
  <si>
    <t>Xây dựng bộ test case cho 8 UC đã cài đặt, thực hiện kiểm thử, ghi nhận Pass/Fail và viết bug report cho các test case FAIL (C6-D2).</t>
  </si>
  <si>
    <t>2. Phạm vi: 8 UC và phân công test (cross-testing: người viết code không tự test)</t>
  </si>
  <si>
    <t>UC</t>
  </si>
  <si>
    <t>Tên UC</t>
  </si>
  <si>
    <t>Actor</t>
  </si>
  <si>
    <t>Backend</t>
  </si>
  <si>
    <t>Frontend</t>
  </si>
  <si>
    <t>Viết + chạy test</t>
  </si>
  <si>
    <t>Số TC</t>
  </si>
  <si>
    <t>UC21</t>
  </si>
  <si>
    <t>Đăng nhập hệ thống</t>
  </si>
  <si>
    <t>Tất cả</t>
  </si>
  <si>
    <t>Hậu</t>
  </si>
  <si>
    <t>Kiệt</t>
  </si>
  <si>
    <t>UC01</t>
  </si>
  <si>
    <t>Tạo và gửi order</t>
  </si>
  <si>
    <t>Phục vụ</t>
  </si>
  <si>
    <t>Tuấn</t>
  </si>
  <si>
    <t>UC04</t>
  </si>
  <si>
    <t>Cập nhật order (gọi thêm, sửa, hủy món)</t>
  </si>
  <si>
    <t>UC10</t>
  </si>
  <si>
    <t>Thanh toán hóa đơn (UC10.1 tiền mặt, UC10.2 QR giả lập)</t>
  </si>
  <si>
    <t>Thu ngân</t>
  </si>
  <si>
    <t>UC15</t>
  </si>
  <si>
    <t>Hiển thị danh sách đơn hàng (KDS)</t>
  </si>
  <si>
    <t>Bếp</t>
  </si>
  <si>
    <t>Xuân An</t>
  </si>
  <si>
    <t>Duy</t>
  </si>
  <si>
    <t>UC16</t>
  </si>
  <si>
    <t>Cập nhật trạng thái chế biến</t>
  </si>
  <si>
    <t>UC18</t>
  </si>
  <si>
    <t>Đánh dấu hết nguyên liệu</t>
  </si>
  <si>
    <t>UC08</t>
  </si>
  <si>
    <t>Lập hóa đơn</t>
  </si>
  <si>
    <t>3. Môi trường test (điền khi chạy test)</t>
  </si>
  <si>
    <t>Phiên bản ứng dụng</t>
  </si>
  <si>
    <t xml:space="preserve">Nhánh develop hoặc tag đang test – ghi tag và commit hash (git rev-parse --short HEAD): </t>
  </si>
  <si>
    <t>Phiên bản CSDL / seed</t>
  </si>
  <si>
    <t xml:space="preserve">docs/db/schema.sql + docs/db/seed.sql (MySQL 8, database lan_may_cafe) – ghi commit hash của 2 file: </t>
  </si>
  <si>
    <t>Tài khoản test</t>
  </si>
  <si>
    <t>phucvu01 (PHUC_VU), barista01 (BARISTA), thungan01 (THU_NGAN), chutquan01 (CHU_QUAN), blocked01 (PHUC_VU, BI_KHOA); mật khẩu 123456. Tài khoản vohieu01 (VO_HIEU) tạo bằng SQL, xem sheet "SQL hỗ trợ".</t>
  </si>
  <si>
    <t>Nền tảng</t>
  </si>
  <si>
    <t>Node.js &gt;= 18; MySQL 8; server chạy tại http://localhost:3000 (API: http://localhost:3000/api)</t>
  </si>
  <si>
    <t>Công cụ</t>
  </si>
  <si>
    <t xml:space="preserve">Postman (gọi API), MySQL Workbench (kiểm tra dữ liệu), trình duyệt: ghi tên và phiên bản: </t>
  </si>
  <si>
    <t>Người chạy / ngày chạy</t>
  </si>
  <si>
    <t xml:space="preserve">Kiệt (UC21, UC01, UC04, UC10); Duy (UC15, UC16, UC18, UC08) – ghi ngày chạy: </t>
  </si>
  <si>
    <t>4. Số test case tối thiểu cho mỗi UC (theo C6-D2)</t>
  </si>
  <si>
    <t>Loại test case</t>
  </si>
  <si>
    <t>Số lượng tối thiểu / UC</t>
  </si>
  <si>
    <t>Kỹ thuật áp dụng</t>
  </si>
  <si>
    <t>Happy path (main flow)</t>
  </si>
  <si>
    <t>1</t>
  </si>
  <si>
    <t>Functional test cơ bản</t>
  </si>
  <si>
    <t>Negative, invalid input</t>
  </si>
  <si>
    <t>2</t>
  </si>
  <si>
    <t>Equivalence Partitioning (invalid class)</t>
  </si>
  <si>
    <t>Boundary value</t>
  </si>
  <si>
    <t>Boundary Value Analysis</t>
  </si>
  <si>
    <t>Alternative flow</t>
  </si>
  <si>
    <t>1 / alternative flow trong UC Spec</t>
  </si>
  <si>
    <t>Black-box theo UC Specification</t>
  </si>
  <si>
    <t>Loại bổ sung</t>
  </si>
  <si>
    <t>Không bắt buộc</t>
  </si>
  <si>
    <t>"Phi chức năng": kiểm tra ngoài luồng UC (ví dụ giao diện chống bấm 2 lần)</t>
  </si>
  <si>
    <t>5. Quy trình thực hiện (theo C6-D2)</t>
  </si>
  <si>
    <t>Bước 1 – Chuẩn bị dữ liệu</t>
  </si>
  <si>
    <t>Reset CSDL = chạy schema.sql (tự DROP và tạo lại database) rồi chạy seed.sql, đúng thứ tự này. Không chạy seed.sql hai lần liên tiếp vì sẽ lỗi Duplicate entry. Ghi lại phiên bản ứng dụng và CSDL ở mục 3. Dữ liệu test cụ thể xem sheet "Dữ liệu test".</t>
  </si>
  <si>
    <t>Bước 2 – Chạy từng TC</t>
  </si>
  <si>
    <t>Làm đúng từng bước, không bỏ bước. Ghi Actual Result đúng như quan sát được, không ghi điều bạn nghĩ sẽ xảy ra. Khớp Expected hoàn toàn: PASS; khác ở bất kỳ điểm nào: FAIL. Chụp ảnh bằng chứng, ghi tên file vào cột "Ảnh bằng chứng".</t>
  </si>
  <si>
    <t>Bước 3 – Bug report</t>
  </si>
  <si>
    <t>Mỗi TC FAIL viết 1 bug ở sheet "Bug Report" với đủ 7 trường C6-D2; gửi Tuấn, An, Hậu trong ngày 08/10.</t>
  </si>
  <si>
    <t>Lưu ý khi chạy</t>
  </si>
  <si>
    <t>TC thanh toán (UC10), sửa/hủy món (UC04) làm thay đổi dữ liệu: nạp lại schema.sql + seed.sql trước mỗi nhóm TC (và trước TC đã ghi chú). TC-21-07 khóa tài khoản phucvu01 nên nạp lại DB sau đó. Nếu thiếu thời gian, chạy các TC ưu tiên "Cao" trước.</t>
  </si>
  <si>
    <t>6. Quy ước</t>
  </si>
  <si>
    <t>Mã test case / bug</t>
  </si>
  <si>
    <t>TC-[số UC]-[số thứ tự], ví dụ TC-01-03. Bug: BUG-N5-[số], ví dụ BUG-N5-001. Số UC theo UC diagram cuối (UC01–UC25).</t>
  </si>
  <si>
    <t>Ưu tiên chạy</t>
  </si>
  <si>
    <t>Cao: luồng chính, biên, alternative flow quan trọng. Trung: negative/alternative còn lại. Thấp: ít ảnh hưởng nghiệp vụ.</t>
  </si>
  <si>
    <t>Mức độ nghiêm trọng bug</t>
  </si>
  <si>
    <t>Critical: sai tiền, thu trùng, mất hoặc hỏng dữ liệu. High: ảnh hưởng trực tiếp nghiệp vụ hoặc thiếu xử lý alternative flow (ví dụ gọi được món đã hết). Medium: sai thông báo hoặc mã lỗi nhưng nghiệp vụ vẫn đúng. Low: lỗi giao diện, chính tả.</t>
  </si>
  <si>
    <t>Hạn sửa bug</t>
  </si>
  <si>
    <t>Critical và High: dev sửa trong ngày nhận (Tuấn T8, An A8, Hậu H5). Medium/Low chưa kịp sửa thì chuyển Duy đưa vào mục "Hướng phát triển".</t>
  </si>
  <si>
    <t>7. Mốc thời gian</t>
  </si>
  <si>
    <t>12:00 04/10</t>
  </si>
  <si>
    <t>Gửi mẫu biểu cho Duy (K1)</t>
  </si>
  <si>
    <t>21:00 06/10</t>
  </si>
  <si>
    <t>Gửi Tuấn duyệt test case (K2)</t>
  </si>
  <si>
    <t>21:00 07/10</t>
  </si>
  <si>
    <t>Code freeze, nhận v1.0-rc, bắt đầu chạy test</t>
  </si>
  <si>
    <t>08/10</t>
  </si>
  <si>
    <t>Chạy test, gửi bug report (K3)</t>
  </si>
  <si>
    <t>21:00 09/10</t>
  </si>
  <si>
    <t>Retest, gửi báo cáo kết quả test cho Sơn (K4)</t>
  </si>
  <si>
    <t>14:00 10/10</t>
  </si>
  <si>
    <t>Duyệt bản ghép báo cáo 4 trang (K5)</t>
  </si>
  <si>
    <t>Dữ liệu test lấy từ seed.sql (nhánh develop). Các test case đã ghi sẵn giá trị cụ thể; sheet này để tra cứu nhanh.</t>
  </si>
  <si>
    <t>Ký hiệu cũ</t>
  </si>
  <si>
    <t>Ý nghĩa</t>
  </si>
  <si>
    <t>Giá trị (seed.sql)</t>
  </si>
  <si>
    <t>Ghi chú</t>
  </si>
  <si>
    <t>TK_PV / MK_PV</t>
  </si>
  <si>
    <t>Tài khoản Phục vụ đang hoạt động</t>
  </si>
  <si>
    <t>phucvu01 / 123456 (nv-001)</t>
  </si>
  <si>
    <t>Seed ghi mật khẩu 123456 là "dự kiến"; báo cáo nhóm cũng ghi 123456</t>
  </si>
  <si>
    <t>TK_BARISTA</t>
  </si>
  <si>
    <t>Tài khoản Barista</t>
  </si>
  <si>
    <t>barista01 / 123456 (nv-002)</t>
  </si>
  <si>
    <t>TK_THU_NGAN</t>
  </si>
  <si>
    <t>Tài khoản Thu ngân</t>
  </si>
  <si>
    <t>thungan01 / 123456 (nv-003)</t>
  </si>
  <si>
    <t>TK_CHU_QUAN</t>
  </si>
  <si>
    <t>Tài khoản Chủ quán</t>
  </si>
  <si>
    <t>chutquan01 / 123456 (nv-004)</t>
  </si>
  <si>
    <t>Tên đăng nhập có 2 chữ t (chutquan01), gõ đúng khi đăng nhập</t>
  </si>
  <si>
    <t>TK_KHOA</t>
  </si>
  <si>
    <t>Tài khoản đã bị khóa sẵn</t>
  </si>
  <si>
    <t>blocked01 / 123456 (nv-005)</t>
  </si>
  <si>
    <t>trang_thai = BI_KHOA, so_lan_sai = 5</t>
  </si>
  <si>
    <t>TK_VO_HIEU</t>
  </si>
  <si>
    <t>Tài khoản vô hiệu hóa</t>
  </si>
  <si>
    <t>vohieu01 / 123456 (nv-006)</t>
  </si>
  <si>
    <t>Seed KHÔNG có: tạo bằng SQL ở sheet "SQL hỗ trợ" (X04)</t>
  </si>
  <si>
    <t>BAN_TRONG</t>
  </si>
  <si>
    <t>Bàn TRONG, chưa có đơn</t>
  </si>
  <si>
    <t>ban-01 (B01); cũng có ban-02, 09, 10, 11, 12</t>
  </si>
  <si>
    <t>BAN_CO_DON</t>
  </si>
  <si>
    <t>Bàn DANG_PHUC_VU có đơn</t>
  </si>
  <si>
    <t>ban-03 (B03) có dh-001; ban-04 (B04) có dh-002 (HOAN_THANH)</t>
  </si>
  <si>
    <t>BAN_CAN_DON</t>
  </si>
  <si>
    <t>Bàn CAN_DON</t>
  </si>
  <si>
    <t>ban-05 (B05) có dh-003 đã thanh toán; ban-06 (B06) có dh-004 chưa thanh toán</t>
  </si>
  <si>
    <t>ban-06 bất thường: bàn CAN_DON nhưng đơn vẫn DANG_PHUC_VU (X16)</t>
  </si>
  <si>
    <t>(mới)</t>
  </si>
  <si>
    <t>Bàn DAT_TRUOC (trạng thái thứ 4)</t>
  </si>
  <si>
    <t>ban-07 (B07), ban-08 (B08)</t>
  </si>
  <si>
    <t>Chưa rõ có được gọi món không (X15)</t>
  </si>
  <si>
    <t>MON_A / GIA_A</t>
  </si>
  <si>
    <t>Món CON_HANG thứ nhất</t>
  </si>
  <si>
    <t>mon-02 Cà phê sữa, 30.000</t>
  </si>
  <si>
    <t>Cà phê đen mon-01 25.000 cũng CON_HANG</t>
  </si>
  <si>
    <t>MON_B / GIA_B</t>
  </si>
  <si>
    <t>Món CON_HANG thứ hai</t>
  </si>
  <si>
    <t>mon-04 Trà đào, 40.000</t>
  </si>
  <si>
    <t>MON_TAM_HET</t>
  </si>
  <si>
    <t>Món TAM_HET</t>
  </si>
  <si>
    <t>mon-03 Bạc xỉu, 35.000</t>
  </si>
  <si>
    <t>Liên quan kho-10 (Siro bạc xỉu) tồn kho 0</t>
  </si>
  <si>
    <t>DON_CHO / TONG_CU</t>
  </si>
  <si>
    <t>Đơn dùng cho UC04</t>
  </si>
  <si>
    <t>dh-001 (ban-03), tổng 85.000</t>
  </si>
  <si>
    <t>ct-001 Cà phê sữa x2 DANG_LAM (60.000); ct-002 Cà phê đen x1 CHO_PHA_CHE (25.000)</t>
  </si>
  <si>
    <t>CT_DA_XONG</t>
  </si>
  <si>
    <t>Món DA_XONG</t>
  </si>
  <si>
    <t>ct-003, ct-004 thuộc dh-002 (ban-04, HOAN_THANH, tổng 100.000)</t>
  </si>
  <si>
    <t>Không nằm trong dh-001</t>
  </si>
  <si>
    <t>DON_SAN_SANG / TONG_TIEN</t>
  </si>
  <si>
    <t>Đơn dùng cho UC10 (chưa thanh toán)</t>
  </si>
  <si>
    <t>dh-002 (ban-04), tổng 100.000, mọi món DA_XONG</t>
  </si>
  <si>
    <t>Mỗi lần thanh toán thành công là hết dùng được: nạp lại DB trước TC kế tiếp</t>
  </si>
  <si>
    <t>DON_DA_TT</t>
  </si>
  <si>
    <t>Đơn đã thanh toán</t>
  </si>
  <si>
    <t>dh-003 (ban-05), tổng 60.000, mã GD-20261008-001</t>
  </si>
  <si>
    <t>thanh_toan tt-001, tiền mặt, khách đưa 70.000, thối 10.000</t>
  </si>
  <si>
    <t>DON_CHUA_BEP</t>
  </si>
  <si>
    <t>Đơn chưa đồng bộ bếp (isSynced=false)</t>
  </si>
  <si>
    <t>Seed không có: dùng SQL đặt dh-004 is_synced = FALSE</t>
  </si>
  <si>
    <t>Xem sheet "SQL hỗ trợ"</t>
  </si>
  <si>
    <t>(khác)</t>
  </si>
  <si>
    <t>Đơn khác trong seed</t>
  </si>
  <si>
    <t>dh-004 (ban-06) tổng 70.000: ct-007 Trà đào x1 DANG_LAM (40.000) + ct-008 Cà phê sữa x1 DA_HUY (30.000)</t>
  </si>
  <si>
    <t>tong_tien gồm cả món đã hủy (X16)</t>
  </si>
  <si>
    <t>Chạy trong MySQL Workbench (kết nối vào database lan_may_cafe). Chép từng câu, không cần sửa.</t>
  </si>
  <si>
    <t>Mục đích</t>
  </si>
  <si>
    <t>Câu lệnh / cách làm</t>
  </si>
  <si>
    <t>Dùng ở</t>
  </si>
  <si>
    <t>Reset CSDL về ban đầu</t>
  </si>
  <si>
    <t>1) File &gt; Open SQL Script &gt; schema.sql &gt; bấm biểu tượng tia sét (chạy toàn bộ). 2) Mở seed.sql &gt; chạy toàn bộ. Đúng thứ tự, không chạy seed.sql hai lần liên tiếp (lỗi Duplicate entry). schema.sql tự DROP DATABASE rồi tạo lại.</t>
  </si>
  <si>
    <t>Trước mỗi nhóm TC</t>
  </si>
  <si>
    <t>Số bản ghi sau khi nạp seed</t>
  </si>
  <si>
    <t>Kết quả đúng: nhan_vien 5, ban 12, khach_hang 4, don_hang 4, chi_tiet_don 8, thanh_toan 1, mon_an 15, kho_hang 10, cong_thuc_mon 20 (seed.sql tự chạy câu SELECT này ở cuối).</t>
  </si>
  <si>
    <t>Sau khi nạp</t>
  </si>
  <si>
    <t>Tạo tài khoản vô hiệu hóa vohieu01</t>
  </si>
  <si>
    <t>INSERT INTO nhan_vien (id, username, mat_khau, ho_ten, vai_tro, trang_thai, so_lan_sai) VALUES ('nv-006', 'vohieu01', '$2b$10$VXnS585ISxsI7DldPj5RCu85dHUWJXM5PfRYELfkpHBa9IsIGFDe6', 'Nguyễn Văn Vô Hiệu', 'PHUC_VU', 'VO_HIEU', 0);</t>
  </si>
  <si>
    <t>TC-21-09 (mật khẩu 123456, cùng hash với seed)</t>
  </si>
  <si>
    <t>Tạo đơn chưa đồng bộ bếp</t>
  </si>
  <si>
    <t>UPDATE don_hang SET is_synced = FALSE WHERE id = 'dh-004';</t>
  </si>
  <si>
    <t>TC-10-09</t>
  </si>
  <si>
    <t>Xem tài khoản</t>
  </si>
  <si>
    <t>SELECT username, vai_tro, trang_thai, so_lan_sai FROM nhan_vien;</t>
  </si>
  <si>
    <t>Xem trạng thái bàn</t>
  </si>
  <si>
    <t>SELECT id, so_ban, trang_thai FROM ban ORDER BY so_ban;</t>
  </si>
  <si>
    <t>UC01, UC10</t>
  </si>
  <si>
    <t>Xem đơn hàng</t>
  </si>
  <si>
    <t>SELECT id, ban_id, tong_tien, trang_thai, is_synced FROM don_hang ORDER BY ngay_tao;</t>
  </si>
  <si>
    <t>UC01, UC04, UC10</t>
  </si>
  <si>
    <t>Xem chi tiết một đơn</t>
  </si>
  <si>
    <t>SELECT id, mon_an_id, so_luong, don_gia, trang_thai_che_bien FROM chi_tiet_don WHERE don_hang_id = 'dh-001';</t>
  </si>
  <si>
    <t>UC01, UC04 (đổi mã đơn khi cần)</t>
  </si>
  <si>
    <t>Xem thanh toán</t>
  </si>
  <si>
    <t>SELECT id, don_hang_id, phuong_thuc, so_tien, tien_khach_dua, tien_thoi, ma_giao_dich, trang_thai FROM thanh_toan;</t>
  </si>
  <si>
    <t>Đếm bản ghi theo mã giao dịch</t>
  </si>
  <si>
    <t>SELECT COUNT(*) FROM thanh_toan WHERE ma_giao_dich = 'gd-test-0001';</t>
  </si>
  <si>
    <t>TC-10-07 (kết quả đúng: 1)</t>
  </si>
  <si>
    <t>Xem món và trạng thái</t>
  </si>
  <si>
    <t>SELECT id, ten_mon, gia, trang_thai FROM mon_an WHERE id IN ('mon-01', 'mon-02', 'mon-03', 'mon-04');</t>
  </si>
  <si>
    <t>ID</t>
  </si>
  <si>
    <t>Tiêu đề</t>
  </si>
  <si>
    <t>Loại</t>
  </si>
  <si>
    <t>Kỹ thuật</t>
  </si>
  <si>
    <t>Truy vết (UC Spec / API)</t>
  </si>
  <si>
    <t>Ưu tiên</t>
  </si>
  <si>
    <t>Pre-condition</t>
  </si>
  <si>
    <t>Dữ liệu test</t>
  </si>
  <si>
    <t>Các bước (Test Steps)</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</si>
  <si>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</si>
  <si>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</si>
  <si>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</si>
  <si>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</si>
  <si>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</si>
  <si>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</si>
  <si>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</si>
  <si>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</si>
  <si>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</si>
  <si>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</si>
  <si>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</si>
  <si>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</si>
  <si>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</si>
  <si>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1. Mở trang đăng nhập.
2. Nhập username và mật khẩu đúng.
3. Bấm "Đăng nhập".</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</si>
  <si>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</si>
  <si>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</si>
  <si>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</si>
  <si>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</si>
  <si>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</si>
  <si>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</si>
  <si>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</si>
  <si>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1. Lần lượt với từng tài khoản: mở trang đăng nhập, nhập đúng thông tin, bấm "Đăng nhập".
2. Quan sát màn hình sau đăng nhập.
3. Đăng xuất (hoặc dùng cửa sổ ẩn danh) trước khi thử tài khoản kế tiếp.</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</si>
  <si>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</si>
  <si>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</si>
  <si>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</si>
  <si>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</si>
  <si>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</si>
  <si>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</si>
  <si>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</si>
  <si>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</si>
  <si>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</si>
  <si>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1. Mở trang đăng nhập.
2. Nhập username đúng, mật khẩu sai.
3. Bấm "Đăng nhập".
4. Kiểm tra nhan_vien.so_lan_sai trong MySQL Workbench.</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</si>
  <si>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</si>
  <si>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</si>
  <si>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</si>
  <si>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</si>
  <si>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</si>
  <si>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</si>
  <si>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1. Mở trang đăng nhập.
2. Nhập username không tồn tại và một mật khẩu bất kỳ.
3. Bấm "Đăng nhập".</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</si>
  <si>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</si>
  <si>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</si>
  <si>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</si>
  <si>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</si>
  <si>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</si>
  <si>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</si>
  <si>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1. Mở trang đăng nhập.
2. Trường hợp (a): để trống username, nhập mật khẩu, bấm "Đăng nhập".
3. Tải lại trang. Trường hợp (b): nhập username, để trống mật khẩu, bấm "Đăng nhập".</t>
  </si>
  <si>
    <t>Cả (a) và (b): HTTP 400, maLoi=THIEU_THONG_TIN. Lỗi hiện ngay dưới ô còn thiếu; không đăng nhập.</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</si>
  <si>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</si>
  <si>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</si>
  <si>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</si>
  <si>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</si>
  <si>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</si>
  <si>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</si>
  <si>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</si>
  <si>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1. Đăng nhập phucvu01 với mật khẩu sai, lặp 4 lần liên tiếp.
2. Ngay sau đó đăng nhập phucvu01 với mật khẩu đúng.
3. Kiểm tra nhan_vien.so_lan_sai.</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</si>
  <si>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</si>
  <si>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</si>
  <si>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</si>
  <si>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</si>
  <si>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</si>
  <si>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</si>
  <si>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</si>
  <si>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1. Đăng nhập phucvu01 với mật khẩu sai, lặp 5 lần liên tiếp.
2. Đăng nhập lần thứ 6 với mật khẩu ĐÚNG.
3. Kiểm tra nhan_vien.trang_thai và so_lan_sai trong CSDL.</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</si>
  <si>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</si>
  <si>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</si>
  <si>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</si>
  <si>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</si>
  <si>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</si>
  <si>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</si>
  <si>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</si>
  <si>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</si>
  <si>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</si>
  <si>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1. Mở trang đăng nhập.
2. Nhập thông tin đúng của blocked01.
3. Bấm "Đăng nhập".</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</si>
  <si>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</si>
  <si>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</si>
  <si>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</si>
  <si>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</si>
  <si>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</si>
  <si>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</si>
  <si>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</si>
  <si>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</si>
  <si>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1. Mở trang đăng nhập.
2. Nhập thông tin đúng của vohieu01.
3. Bấm "Đăng nhập".</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</si>
  <si>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</si>
  <si>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</si>
  <si>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</si>
  <si>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</si>
  <si>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</si>
  <si>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</si>
  <si>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</si>
  <si>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</si>
  <si>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1. Mở Postman.
2. Gửi GET /api/menu, không kèm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</si>
  <si>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</si>
  <si>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</si>
  <si>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</si>
  <si>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</si>
  <si>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</si>
  <si>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</si>
  <si>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</si>
  <si>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</si>
  <si>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1. Đăng nhập phucvu01 và lấy token.
2. Trong Postman, gửi POST /api/payments kèm token đó.</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</si>
  <si>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</si>
  <si>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</si>
  <si>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</si>
  <si>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</si>
  <si>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</si>
  <si>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</si>
  <si>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</si>
  <si>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1. Đăng nhập phucvu01; ở Sơ đồ bàn chọn ban-01 (B01).
2. Thêm mon-02 (Cà phê sữa) số lượng 2, nhập ghi chú "ít đá".
3. Thêm mon-04 (Trà đào) số lượng 1.
4. Bấm "Gửi bếp".
5. Quay lại Sơ đồ bàn; kiểm tra don_hang và chi_tiet_don trong MySQL Workbench.</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</si>
  <si>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</si>
  <si>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</si>
  <si>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</si>
  <si>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</si>
  <si>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</si>
  <si>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</si>
  <si>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1. Chọn ban-01 (B01).
2. Thêm mon-02 (Cà phê sữa) số lượng 1.
3. Bấm "Gửi bếp".</t>
  </si>
  <si>
    <t>HTTP 201; chi tiết món soLuong=1; tongTien = 30.000; bàn chuyển DANG_PHUC_VU.</t>
  </si>
  <si>
    <t>TC-01-03</t>
  </si>
  <si>
    <t>Số lượng = 99 (biên trên hợp lệ)</t>
  </si>
  <si>
    <t>BVA (biên trên = 99)</t>
  </si>
  <si>
    <t>banId = ban-01 (B01); mon-02 (Cà phê sữa) soLuong = 99</t>
  </si>
  <si>
    <t>1. Chọn ban-01 (B01).
2. Thêm mon-02 (Cà phê sữa) số lượng 99.
3. Bấm "Gửi bếp".</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</si>
  <si>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</si>
  <si>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</si>
  <si>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</si>
  <si>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</si>
  <si>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</si>
  <si>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</si>
  <si>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1. Giao diện: thử nhập số lượng 0 rồi bấm "Gửi bếp".
2. API: trong Postman gửi POST /api/orders với soLuong = 0 (bỏ qua giao diện).</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</si>
  <si>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</si>
  <si>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</si>
  <si>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</si>
  <si>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</si>
  <si>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</si>
  <si>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1. Giao diện: thử nhập số lượng -1 rồi bấm "Gửi bếp".
2. API: trong Postman gửi POST /api/orders với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</si>
  <si>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</si>
  <si>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</si>
  <si>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</si>
  <si>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</si>
  <si>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</si>
  <si>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</si>
  <si>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1. Giao diện: thử nhập số lượng 100.
2. Postman: gửi trực tiếp POST /api/orders với soLuong = 100 (kiểm tra việc chặn nằm ở server).</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</si>
  <si>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</si>
  <si>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</si>
  <si>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</si>
  <si>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</si>
  <si>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</si>
  <si>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</si>
  <si>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</si>
  <si>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1. Chọn ban-01 (B01); trên giao diện quan sát mon-03 (Bạc xỉu).
2. Thử chọn mon-03 (Bạc xỉu).
3. Postman: gửi POST /api/orders có mon-03 (Bạc xỉu).</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</si>
  <si>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</si>
  <si>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</si>
  <si>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</si>
  <si>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</si>
  <si>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</si>
  <si>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</si>
  <si>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</si>
  <si>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1. Ở Sơ đồ bàn thử bấm vào ban-05 (B05).
2. Postman: gửi POST /api/orders với banId = ban-05 (B05).</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</si>
  <si>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</si>
  <si>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</si>
  <si>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</si>
  <si>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</si>
  <si>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</si>
  <si>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</si>
  <si>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</si>
  <si>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1. Postman: gửi POST /api/orders với banId = ban-03 (B03).</t>
  </si>
  <si>
    <t>HTTP 409, maLoi=BAN_DA_CO_DON. Không tạo đơn thứ hai; số don_hang của bàn vẫn là 1.</t>
  </si>
  <si>
    <t>Đề xuất của Tuấn trong contract, chưa chốt [X01]. Nếu chốt khác thì sửa Expected.</t>
  </si>
  <si>
    <t>TC-01-10</t>
  </si>
  <si>
    <t>Bếp không phản hồi sau 5 giây: đơn vẫn lưu, isSynced=false</t>
  </si>
  <si>
    <t>Black-box theo UC Spec (EF: bếp không phản hồi)</t>
  </si>
  <si>
    <t>SD Tạo order (msg 2–25); api-contract §3 UC01 (POST /orders); BPC T3 (guiOrderDenKDS, danhDauChuaDongBo)</t>
  </si>
  <si>
    <t>Đã nạp lại schema.sql rồi seed.sql; đã đăng nhập phucvu01. ban-01 (B01) đang TRONG; bếp (KDS) được giả lập không phản hồi quá 5 giây.</t>
  </si>
  <si>
    <t>banId = ban-01 (B01); mon-02 (Cà phê sữa) soLuong = 1; KDS_TIMEOUT_MS = 5000</t>
  </si>
  <si>
    <t>1. Giả lập bếp không phản hồi (cách làm do Tuấn xác nhận).
2. Chọn ban-01 (B01), thêm mon-02 (Cà phê sữa) x1, bấm "Gửi bếp".
3. Đo thời gian chờ đến khi có kết quả.
4. Kiểm tra don_hang trong CSDL.</t>
  </si>
  <si>
    <t>Sau khoảng 5 giây hệ thống vẫn trả kết quả: HTTP 201, isSynced=false.
Đơn vẫn được lưu; bàn chuyển DANG_PHUC_VU. Giao diện không bị treo.</t>
  </si>
  <si>
    <t>Cách giả lập bếp [X06]; giả định HTTP 201 khi isSynced=false. Đơn tạo ra ở đây dùng làm dh-004 cho TC-10-09.</t>
  </si>
  <si>
    <t>TC-01-11</t>
  </si>
  <si>
    <t>Gửi order khi giỏ hàng rỗng</t>
  </si>
  <si>
    <t>EP (invalid class: danh sách món rỗng)</t>
  </si>
  <si>
    <t>SD Tạo order (msg 2–25); api-contract §3 UC01 (POST /orders); mã lỗi DS_MON_RONG</t>
  </si>
  <si>
    <t>banId = ban-01 (B01); dsMon = []</t>
  </si>
  <si>
    <t>1. Chọn ban-01 (B01), không thêm món nào, bấm "Gửi bếp".
2. Postman: gửi POST /api/orders với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</si>
  <si>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</si>
  <si>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</si>
  <si>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</si>
  <si>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</si>
  <si>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</si>
  <si>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</si>
  <si>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1. Ở Sơ đồ bàn chọn ban-03 (B03).
2. Bấm "Gọi thêm", chọn mon-04 (Trà đào) số lượng 1, nhập ghi chú.
3. Bấm "Gửi bếp".
4. Mở màn Bếp (hoặc GET /api/kitchen/items) để kiểm tra.</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</si>
  <si>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</si>
  <si>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</si>
  <si>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</si>
  <si>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</si>
  <si>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</si>
  <si>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</si>
  <si>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1. Chọn ban-03 (B03).
2. Ở món Cà phê đen (ct-002, đang x1) đổi số lượng 1 → 3 và xác nhận.</t>
  </si>
  <si>
    <t>HTTP 200. soLuong=3; tongTien = 85.000 + 2×25.000 = 135.000; món vẫn CHO_PHA_CHE.</t>
  </si>
  <si>
    <t>TC-04-03</t>
  </si>
  <si>
    <t>Hủy món đang CHO_PHA_CHE</t>
  </si>
  <si>
    <t>CD_CapNhat (themMon/suaMon/huyMon); api-contract §3 UC04 (DELETE /orders/:id/items/:chiTietId)</t>
  </si>
  <si>
    <t>ct-002</t>
  </si>
  <si>
    <t>1. Chọn ban-03 (B03).
2. Bấm "Hủy" ở món ct-002 và xác nhận.</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</si>
  <si>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</si>
  <si>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</si>
  <si>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</si>
  <si>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</si>
  <si>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</si>
  <si>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1. Chọn ban-03 (B03).
2. Sửa ct-002 từ 1 lên 2 (kiểm tra tongTien = 110.000).
3. Sửa ct-002 về 1 và xác nhận.</t>
  </si>
  <si>
    <t>Sau bước 3: HTTP 200; soLuong=1; tongTien = 85.000.</t>
  </si>
  <si>
    <t>TC-04-05</t>
  </si>
  <si>
    <t>Sửa số lượng = 99 (biên trên hợp lệ)</t>
  </si>
  <si>
    <t>ct-002: số lượng → 99</t>
  </si>
  <si>
    <t>1. Chọn ban-03 (B03).
2. Đổi số lượng món ct-002 thành 99 và xác nhận.</t>
  </si>
  <si>
    <t>HTTP 200. soLuong=99; tongTien = 60.000 + 99×25.000 = 2.535.000.</t>
  </si>
  <si>
    <t>TC-04-06</t>
  </si>
  <si>
    <t>Sửa số lượng = 0</t>
  </si>
  <si>
    <t>CD_CapNhat (themMon/suaMon/huyMon); api-contract §3 UC04; mã lỗi SO_LUONG_KHONG_HOP_LE</t>
  </si>
  <si>
    <t>ct-002: soLuong = 0</t>
  </si>
  <si>
    <t>1. Giao diện: thử nhập số lượng 0.
2. Postman: PATCH /api/orders/dh-001/items/ct-002 với {"soLuong": 0}.</t>
  </si>
  <si>
    <t>API: HTTP 400, maLoi=SO_LUONG_KHONG_HOP_LE. Số lượng và tongTien không đổi.</t>
  </si>
  <si>
    <t>TC-04-07</t>
  </si>
  <si>
    <t>Sửa số lượng = 100 (vượt biên trên)</t>
  </si>
  <si>
    <t>ct-002: soLuong = 100</t>
  </si>
  <si>
    <t>1. Postman: PATCH /api/orders/dh-001/items/ct-002 với {"soLuong":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</si>
  <si>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</si>
  <si>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</si>
  <si>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</si>
  <si>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</si>
  <si>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</si>
  <si>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</si>
  <si>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</si>
  <si>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1. Giao diện: chọn ban-03 (B03), quan sát món ct-001.
2. Postman: DELETE /api/orders/dh-001/items/ct-001.</t>
  </si>
  <si>
    <t>Giao diện ẩn nút "Hủy" với món DANG_LAM.
API: HTTP 409, maLoi=MON_DA_CHE_BIEN, message rõ ràng. Món vẫn DANG_LAM; tongTien không đổi.</t>
  </si>
  <si>
    <t>[X05]</t>
  </si>
  <si>
    <t>TC-04-09</t>
  </si>
  <si>
    <t>Sửa số lượng món đang DANG_LAM bị chặn</t>
  </si>
  <si>
    <t>ct-001: soLuong = 2</t>
  </si>
  <si>
    <t>1. Postman: PATCH /api/orders/dh-001/items/ct-001 với {"soLuong":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</si>
  <si>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</si>
  <si>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</si>
  <si>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</si>
  <si>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</si>
  <si>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</si>
  <si>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1. Postman: PATCH /api/orders/dh-002/items/ct-003 với {"soLuong": 2}.
2. Postman: DELETE /api/orders/dh-002/items/ct-003.</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</si>
  <si>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</si>
  <si>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</si>
  <si>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</si>
  <si>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</si>
  <si>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</si>
  <si>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</si>
  <si>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1. Giao diện: chọn ban-03 (B03), bấm "Gọi thêm" và thử chọn mon-03 (Bạc xỉu).
2. Postman: POST /api/orders/dh-001/items với 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</si>
  <si>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</si>
  <si>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</si>
  <si>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</si>
  <si>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</si>
  <si>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</si>
  <si>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</si>
  <si>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</si>
  <si>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1. Postman: POST /api/orders/dh-003/items với mon-02 x1.
2. Postman: PATCH /api/orders/dh-003/items/ct-005 với {"soLuong": 2}.
3. Postman: DELETE /api/orders/dh-003/items/ct-005.</t>
  </si>
  <si>
    <t>Cả ba: HTTP 409, maLoi=DON_DA_THANH_TOAN. Đơn không thay đổi.</t>
  </si>
  <si>
    <t>TC-04-13</t>
  </si>
  <si>
    <t>Sửa món với chiTietId không tồn tại</t>
  </si>
  <si>
    <t>EP (invalid class: id không tồn tại)</t>
  </si>
  <si>
    <t>CD_CapNhat (themMon/suaMon/huyMon); api-contract §3 UC04; mã lỗi MON_TRONG_DON_KHONG_TON_TAI</t>
  </si>
  <si>
    <t>chiTietId = "ct-khongco"</t>
  </si>
  <si>
    <t>1. Postman: PATCH /api/orders/dh-001/items/ct-khongco với {"soLuong": 2}.</t>
  </si>
  <si>
    <t>HTTP 404, maLoi=MON_TRONG_DON_KHONG_TON_TAI.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</si>
  <si>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</si>
  <si>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</si>
  <si>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</si>
  <si>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</si>
  <si>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</si>
  <si>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1. Đăng nhập thungan01, mở POS, chọn bàn có dh-002, mở hóa đơn.
2. Chọn "Tiền mặt", nhập tiền khách đưa; kiểm tra tiền thối hiển thị.
3. Bấm "Xác nhận".
4. Kiểm tra don_hang, ban, thanh_toan trong MySQL Workbench.</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</si>
  <si>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</si>
  <si>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</si>
  <si>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</si>
  <si>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</si>
  <si>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</si>
  <si>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</si>
  <si>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phuongThuc = TIEN_MAT; tienKhachDua = 100.000; maGiaoDich mới</t>
  </si>
  <si>
    <t>1. Mở hóa đơn dh-002 trên POS.
2. Chọn "Tiền mặt", nhập tiền khách đưa đúng bằng số cần thanh toán.
3. Bấm "Xác nhận".</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</si>
  <si>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</si>
  <si>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</si>
  <si>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</si>
  <si>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</si>
  <si>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</si>
  <si>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</si>
  <si>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1. Mở hóa đơn dh-002 trên POS.
2. Chọn "Tiền mặt", nhập tiền khách đưa thiếu 1.000đ.
3. Bấm "Xác nhận".
4. Kiểm tra CSDL.</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</si>
  <si>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</si>
  <si>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</si>
  <si>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</si>
  <si>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</si>
  <si>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</si>
  <si>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</si>
  <si>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1. Postman: gửi POST /api/payments với phuongThuc = TIEN_MAT và không có tienKhachDua.</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</si>
  <si>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</si>
  <si>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</si>
  <si>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</si>
  <si>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</si>
  <si>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</si>
  <si>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</si>
  <si>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</si>
  <si>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1. Postman: gửi POST /api/payments với phuongThuc = "THE_TIN_DUNG".</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</si>
  <si>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</si>
  <si>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</si>
  <si>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</si>
  <si>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</si>
  <si>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</si>
  <si>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</si>
  <si>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1. Mở hóa đơn dh-002 trên POS.
2. Chọn "QR".
3. Bấm "Xác nhận" (giả lập).</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</si>
  <si>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</si>
  <si>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</si>
  <si>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</si>
  <si>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Bấm xác nhận 2 lần với cùng mã giao dịch</t>
  </si>
  <si>
    <t>Black-box theo UC Spec (EF: thanh toán trùng)</t>
  </si>
  <si>
    <t>SD_ThanhToan; api-contract §3 UC10 (POST /payments); BPC T6 (findByMaGiaoDich), mục 2 (chặn thanh toán trùng mã)</t>
  </si>
  <si>
    <t>maGiaoDich = "gd-test-0001"; phuongThuc = TIEN_MAT; tienKhachDua = 100.000</t>
  </si>
  <si>
    <t>1. Postman: gửi POST /api/payments hợp lệ với maGiaoDich = gd-test-0001; ghi lại kết quả.
2. Gửi LẠI y nguyên request đó (cùng maGiaoDich).
3. Kiểm tra bảng thanh_toan.</t>
  </si>
  <si>
    <t>Lần 1: HTTP 200, daXuLyTruoc=false.
Lần 2: HTTP 200, daXuLyTruoc=true, kết quả giống lần 1; không thu tiền lần hai.
CSDL chỉ có 1 bản ghi thanh_toan với maGiaoDich = gd-test-0001.</t>
  </si>
  <si>
    <t>TC-10-08</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</si>
  <si>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</si>
  <si>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</si>
  <si>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</si>
  <si>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</si>
  <si>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1. Postman: gửi POST /api/payments cho dh-003 với maGiaoDich mới.
2. Kiểm tra bảng thanh_toan.</t>
  </si>
  <si>
    <t>HTTP 409, maLoi=DON_DA_THANH_TOAN. Không thêm bản ghi thanh_toan; đơn và bàn giữ nguyên.</t>
  </si>
  <si>
    <t>Thanh toán đơn chưa gửi bếp</t>
  </si>
  <si>
    <t>Black-box theo UC Spec (EF: đơn chưa gửi bếp)</t>
  </si>
  <si>
    <t>SD_ThanhToan; api-contract §3 UC10 (POST /payments); mã lỗi DON_CHUA_GUI_BEP</t>
  </si>
  <si>
    <t>Đã đăng nhập thungan01; dh-004 là đơn có isSynced=false (chạy SQL: UPDATE don_hang SET is_synced = FALSE WHERE id = 'dh-004';).</t>
  </si>
  <si>
    <t>donHangId = dh-004; phuongThuc = TIEN_MAT; tienKhachDua đủ; maGiaoDich mới</t>
  </si>
  <si>
    <t>1. Postman: gửi POST /api/payments cho dh-004.
2. Kiểm tra CSDL.</t>
  </si>
  <si>
    <t>HTTP 409, maLoi=DON_CHUA_GUI_BEP. Không ghi dữ liệu; đơn dh-004 vẫn DANG_PHUC_VU; trạng thái bàn ban-06 giữ nguyên (seed đang để CAN_DON).</t>
  </si>
  <si>
    <t>Có thể tạo đơn chưa đồng bộ từ TC-01-10 [X06]. Lưu ý seed: dh-004 có tong_tien 70.000 gồm cả món DA_HUY 30.000 [X16].</t>
  </si>
  <si>
    <t>TC-10-10</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</si>
  <si>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</si>
  <si>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</si>
  <si>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</si>
  <si>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</si>
  <si>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</si>
  <si>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1. Ép lỗi ở thao tác ghi thứ 2 hoặc thứ 3 (ví dụ bước cập nhật trạng thái bàn).
2. Gửi POST /api/payments hợp lệ.
3. Kiểm tra don_hang, ban, thanh_toan trong CSDL.</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</si>
  <si>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</si>
  <si>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</si>
  <si>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TC-10-11</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</si>
  <si>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</si>
  <si>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</si>
  <si>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</si>
  <si>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</si>
  <si>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</si>
  <si>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1. Mở popup thanh toán tiền mặt với số tiền đủ.
2. Bấm nhanh 2 lần nút "Xác nhận" (hoặc bấm đúp).
3. Mở DevTools &gt; Network, đếm số request POST /api/payments.
4. Kiểm tra bảng thanh_toan.</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</si>
  <si>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</si>
  <si>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</si>
  <si>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</si>
  <si>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</si>
  <si>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</si>
  <si>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</si>
  <si>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</si>
  <si>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</si>
  <si>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1. Phục vụ gửi liên tiếp 3 Order A, B, C.</t>
  </si>
  <si>
    <t>HTTP 200. Màn hình KDS hiển thị 3 thẻ Order xếp đúng thứ tự FIFO (Order A trên cùng).</t>
  </si>
  <si>
    <t>TC-15-02</t>
  </si>
  <si>
    <t>Hiển thị trạng thái màn hình rỗng</t>
  </si>
  <si>
    <t>UC15 alt flow</t>
  </si>
  <si>
    <t>Quán chưa có order nào</t>
  </si>
  <si>
    <t>N/A</t>
  </si>
  <si>
    <t>1. Đăng nhập tài khoản Bếp.</t>
  </si>
  <si>
    <t>HTTP 200. Danh sách rỗng, giao diện hiện trạng thái "Chưa có order".</t>
  </si>
  <si>
    <t>TC-15-03</t>
  </si>
  <si>
    <t>Hiển thị ghi chú đặc biệt</t>
  </si>
  <si>
    <t>Phục vụ gửi order có ghi chú</t>
  </si>
  <si>
    <t>"Ít đá, không đường"</t>
  </si>
  <si>
    <t>1. Phục vụ tạo đơn có ghi chú.</t>
  </si>
  <si>
    <t>HTTP 200. Ghi chú "Ít đá, không đường" được in đậm/nổi bật trên thẻ tương ứng.</t>
  </si>
  <si>
    <t>TC-15-04</t>
  </si>
  <si>
    <t>Màn hình KDS tự động làm mới</t>
  </si>
  <si>
    <t>NFR: Realtime</t>
  </si>
  <si>
    <t>Màn hình KDS đang mở</t>
  </si>
  <si>
    <t>1. Giữ nguyên màn hình KDS.</t>
  </si>
  <si>
    <t>KDS tự động fetch API (mỗi 3s) và hiển thị Order mới không cần tải lại trang F5.</t>
  </si>
  <si>
    <t>TC-15-05</t>
  </si>
  <si>
    <t>Cảnh báo khi mất kết nối mạng</t>
  </si>
  <si>
    <t>Error Guessing</t>
  </si>
  <si>
    <t>NFR: Resilience</t>
  </si>
  <si>
    <t>KDS đang mở</t>
  </si>
  <si>
    <t>Ngắt mạng</t>
  </si>
  <si>
    <t>1. Ngắt kết nối WiFi máy tính Bếp.</t>
  </si>
  <si>
    <t>Giao diện hiện toast thông báo "Mất kết nối".</t>
  </si>
  <si>
    <t>TC-16-01</t>
  </si>
  <si>
    <t>Chuyển trạng thái món hợp lệ</t>
  </si>
  <si>
    <t>UC16 main flow</t>
  </si>
  <si>
    <t>KDS có Order chờ ở CHO_PHA_CHE</t>
  </si>
  <si>
    <t>1. Bấm nút DANG_LAM.</t>
  </si>
  <si>
    <t>HTTP 200. Trạng thái món chuyển đổi thành công trên giao diện và CSDL sau mỗi lần bấm.</t>
  </si>
  <si>
    <t>TC-16-02</t>
  </si>
  <si>
    <t>Tự động hoàn thành Order</t>
  </si>
  <si>
    <t>Order có nhiều món, các món khác đã DA_XONG</t>
  </si>
  <si>
    <t>1. Bấm DA_XONG cho món cuối cùng còn lại của Order.</t>
  </si>
  <si>
    <t>HTTP 200. Trạng thái của toàn bộ Đơn hàng tự động chuyển từ DANG_PHUC_VU sang HOAN_THANH.</t>
  </si>
  <si>
    <t>TC-16-03</t>
  </si>
  <si>
    <t>Nhảy cóc trạng thái trái phép</t>
  </si>
  <si>
    <t>UC16 exception</t>
  </si>
  <si>
    <t>Món đang ở CHO_PHA_CHE</t>
  </si>
  <si>
    <t>1. Bấm chuyển thẳng 1 món từ CHO_PHA_CHE sang DA_XONG (Bỏ qua Đang làm).</t>
  </si>
  <si>
    <t>HTTP 400, maloi=TRANG_THAI_KHONG_HOP_LE. Hệ thống chặn thao tác.</t>
  </si>
  <si>
    <t>TC-16-04</t>
  </si>
  <si>
    <t>Lùi trạng thái trái phép</t>
  </si>
  <si>
    <t>Món đang ở DA_XONG</t>
  </si>
  <si>
    <t>1. Gửi API lùi trạng thái từ DA_XONG về CHO_PHA_CHE (không qua API hoàn tác).</t>
  </si>
  <si>
    <t>HTTP 400. API từ chối cập nhật lùi trái phép.</t>
  </si>
  <si>
    <t>Có thể dùng Postman ép lỗi.</t>
  </si>
  <si>
    <t>TC-16-05</t>
  </si>
  <si>
    <t>Thao tác trên món đã bị hủy</t>
  </si>
  <si>
    <t>Order có món bị hủy (DA_HUY)</t>
  </si>
  <si>
    <t>1. Cố gắng bấm nút thao tác cho món có trạng thái DA_HUY.</t>
  </si>
  <si>
    <t>Giao diện: nút bị khóa. Nếu gọi API thẳng sẽ trả HTTP 400.</t>
  </si>
  <si>
    <t>TC-16-06</t>
  </si>
  <si>
    <t>Hoàn tác trạng thái món</t>
  </si>
  <si>
    <t>UC16 alt flow</t>
  </si>
  <si>
    <t>Món vừa chuyển sang DANG_LAM</t>
  </si>
  <si>
    <t>1. Bấm nhầm món sang DANG_LAM.</t>
  </si>
  <si>
    <t>HTTP 200. Trạng thái lùi đúng 1 bước về lại CHO_PHA_CHE.</t>
  </si>
  <si>
    <t>TC-18-01</t>
  </si>
  <si>
    <t>Cập nhật tồn kho bình thường</t>
  </si>
  <si>
    <t>UC18 main flow</t>
  </si>
  <si>
    <t>Tồn kho = 10</t>
  </si>
  <si>
    <t>1. Mở màn hình quản lý kho.2. Nhập số lượng tồn kho nguyên liệu.3. Bấm "Lưu".</t>
  </si>
  <si>
    <t>HTTP 200. Hệ thống lưu thành công, món ăn liên quan hiển thị trạng thái đang bán bình thường.</t>
  </si>
  <si>
    <t>TC-18-02</t>
  </si>
  <si>
    <t>Khóa món tự động khi tồn kho = 0</t>
  </si>
  <si>
    <t>BVA</t>
  </si>
  <si>
    <t>Tồn kho = 0</t>
  </si>
  <si>
    <t>1. Mở kho.</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</si>
  <si>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</si>
  <si>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</si>
  <si>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</si>
  <si>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</si>
  <si>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</si>
  <si>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</si>
  <si>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</si>
  <si>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</si>
  <si>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</si>
  <si>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</si>
  <si>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</si>
  <si>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</si>
  <si>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</si>
  <si>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</si>
  <si>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</si>
  <si>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</si>
  <si>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</si>
  <si>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</si>
  <si>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</si>
  <si>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</si>
  <si>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</si>
  <si>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</si>
  <si>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</si>
  <si>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</si>
  <si>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1. Thu ngân chọn lập hóa đơn cho Bàn 01.</t>
  </si>
  <si>
    <t>HTTP 200. Trả về HoaDonDTO: ds món, tổng tiền, giảm giá=0, cần thanh toán=tổng tiền.</t>
  </si>
  <si>
    <t>TC-08-02</t>
  </si>
  <si>
    <t>Lập hóa đơn cho bàn trống</t>
  </si>
  <si>
    <t>UC08 exception</t>
  </si>
  <si>
    <t>Bàn 02 chưa có khách (TRONG)</t>
  </si>
  <si>
    <t>Bàn = 02</t>
  </si>
  <si>
    <t>1. Thu ngân cố tình gọi API lập hóa đơn cho Bàn 02.</t>
  </si>
  <si>
    <t>HTTP 400, maloi=BAN_KHONG_CO_DON. Hệ thống chặn.</t>
  </si>
  <si>
    <t>TC-08-03</t>
  </si>
  <si>
    <t>Lập hóa đơn khi có món chưa gửi</t>
  </si>
  <si>
    <t>Bàn 03 có món vừa chọn nhưng CHƯA gửi bếp</t>
  </si>
  <si>
    <t>Bàn = 03</t>
  </si>
  <si>
    <t>1. Thu ngân bấm lập hóa đơn cho Bàn 03.</t>
  </si>
  <si>
    <t>HTTP 400, maloi=DON_CHUA_GUI_BEP.</t>
  </si>
  <si>
    <t>TC-08-04</t>
  </si>
  <si>
    <t>Lập hóa đơn có mã giảm giá</t>
  </si>
  <si>
    <t>UC08 alt flow</t>
  </si>
  <si>
    <t>Đơn hàng áp dụng khuyến mãi 10%</t>
  </si>
  <si>
    <t>giamGia=10</t>
  </si>
  <si>
    <t>1. Lập hóa đơn cho Bàn 04 (có áp mã giảm giá).</t>
  </si>
  <si>
    <t>HTTP 200. HoaDonDTO tính chính xác: Cần thanh toán = Tổng tiền - Giảm giá.</t>
  </si>
  <si>
    <t>TC-08-05</t>
  </si>
  <si>
    <t>Lập hóa đơn giá trị cực lớn</t>
  </si>
  <si>
    <t>UC08 boundary</t>
  </si>
  <si>
    <t>Bàn VIP gọi nhiều món</t>
  </si>
  <si>
    <t>Tổng &gt; 10 triệu</t>
  </si>
  <si>
    <t>1. Thu ngân lập hóa đơn cho bàn có tổng tiền &gt; 10.000.000đ.</t>
  </si>
  <si>
    <t>HTTP 200. Giao diện hiển thị không bị tràn, định dạng đúng tiền tệ (VNĐ).</t>
  </si>
  <si>
    <t>TC-08-06</t>
  </si>
  <si>
    <t>Hiển thị Popup xác nhận thanh toán</t>
  </si>
  <si>
    <t>Đang xem hóa đơn hợp lệ</t>
  </si>
  <si>
    <t>1. Bấm nút Thanh toán.</t>
  </si>
  <si>
    <t>Popup thanh toán hiện ra với đúng tổng tiền cần thu từ HoaDonDTO.</t>
  </si>
  <si>
    <t>7 cột đầu (nền xanh đậm) là các trường bắt buộc của C6-D2. 3 cột cam là theo dõi nội bộ. Mỗi TC FAIL viết 1 dòng; Bug ID dạng BUG-N5-001; "Kết quả thực tế" và "Kết quả mong đợi" chép đúng Actual/Expected trong Test Case. Dòng 3 chỉ là ví dụ, bỏ qua khi đếm.</t>
  </si>
  <si>
    <t>Bug ID</t>
  </si>
  <si>
    <t>Related TC</t>
  </si>
  <si>
    <t>Mô tả lỗi</t>
  </si>
  <si>
    <t>Bước tái hiện</t>
  </si>
  <si>
    <t>Kết quả thực tế</t>
  </si>
  <si>
    <t>Kết quả mong đợi</t>
  </si>
  <si>
    <t>Mức độ nghiêm trọng</t>
  </si>
  <si>
    <t>Người sửa</t>
  </si>
  <si>
    <t>Trạng thái</t>
  </si>
  <si>
    <t>Kết quả retest</t>
  </si>
  <si>
    <t>VÍ DỤ (xóa dòng này)</t>
  </si>
  <si>
    <t>Hệ thống cho phép tạo order chứa món đã hết nguyên liệu mà không báo lỗi</t>
  </si>
  <si>
    <t>1. Đăng nhập tài khoản Phục vụ.
2. Chọn bàn đang TRONG.
3. Chọn món TAM_HET, số lượng 1.
4. Bấm "Gửi bếp".</t>
  </si>
  <si>
    <t>Order được tạo thành công (HTTP 201)</t>
  </si>
  <si>
    <t>HTTP 409, maLoi=MON_TAM_HET, thông báo "Món … đã hết nguyên liệu"; không tạo đơn</t>
  </si>
  <si>
    <t>High</t>
  </si>
  <si>
    <t>Mới</t>
  </si>
  <si>
    <t>TỔNG HỢP KẾT QUẢ KIỂM THỬ</t>
  </si>
  <si>
    <t>Toàn bộ số liệu là công thức, tự cập nhật từ sheet Test Case và Bug Report. Chỉ các ô nền vàng ở mục 3 cần điền tay (K4).</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</si>
  <si>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</si>
  <si>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</si>
  <si>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</si>
  <si>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</si>
  <si>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</si>
  <si>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</si>
  <si>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</si>
  <si>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</si>
  <si>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</si>
  <si>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</si>
  <si>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</si>
  <si>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</si>
  <si>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</si>
  <si>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</si>
  <si>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</si>
  <si>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</si>
  <si>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</si>
  <si>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</si>
  <si>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</si>
  <si>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</si>
  <si>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</si>
  <si>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</si>
  <si>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</si>
  <si>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Các điểm contract/tài liệu chưa rõ. Test case đang dùng cột "Giả định"; khi có câu trả lời, điền cột nền vàng và sửa Expected ở các TC liên quan.</t>
  </si>
  <si>
    <t>Mã</t>
  </si>
  <si>
    <t>Câu hỏi / điểm chưa rõ</t>
  </si>
  <si>
    <t>Giả định đang dùng trong test case</t>
  </si>
  <si>
    <t>Hỏi ai</t>
  </si>
  <si>
    <t>Ảnh hưởng TC</t>
  </si>
  <si>
    <t>Câu trả lời (điền)</t>
  </si>
  <si>
    <t>X01</t>
  </si>
  <si>
    <t>Bàn đang DANG_PHUC_VU đã có đơn: POST /orders có trả BAN_DA_CO_DON (409) không, và gọi thêm đi qua UC04?</t>
  </si>
  <si>
    <t>Trả BAN_DA_CO_DON 409 (đề xuất ở api-contract §4 điểm 1)</t>
  </si>
  <si>
    <t>Chưa hỏi</t>
  </si>
  <si>
    <t>X02</t>
  </si>
  <si>
    <t>Sai lần thứ 5 trả TAI_KHOAN_BI_KHOA (423) ngay hay lần thứ 6 mới 423? Khóa bao lâu, có tự mở không? Đăng nhập đúng có reset so_lan_sai không?</t>
  </si>
  <si>
    <t>Lần sai thứ 5 đã trả 423; khóa không tự mở; đăng nhập đúng reset bộ đếm về 0</t>
  </si>
  <si>
    <t>TC-21-06, 07</t>
  </si>
  <si>
    <t>X03</t>
  </si>
  <si>
    <t>Bỏ trống username hoặc mật khẩu có tính vào so_lan_sai không?</t>
  </si>
  <si>
    <t>Không tính</t>
  </si>
  <si>
    <t>X04</t>
  </si>
  <si>
    <t>Seed có blocked01 (BI_KHOA) nhưng không có tài khoản VO_HIEU (enum có giá trị này).</t>
  </si>
  <si>
    <t>Tạo vohieu01 bằng SQL (sheet "SQL hỗ trợ"). Nên nhờ An thêm vào seed.</t>
  </si>
  <si>
    <t>An</t>
  </si>
  <si>
    <t>TC-21-08, 09</t>
  </si>
  <si>
    <t>X05</t>
  </si>
  <si>
    <t>UC01, UC04</t>
  </si>
  <si>
    <t>Seed đã có: 2+ món CON_HANG, mon-03 Bạc xỉu TAM_HET, dh-001 có món DANG_LAM và CHO_PHA_CHE, dh-002 có món DA_XONG. Món DA_XONG nằm ở đơn khác dh-001.</t>
  </si>
  <si>
    <t>Đã điều chỉnh các TC UC04 theo seed.</t>
  </si>
  <si>
    <t>An, Tuấn</t>
  </si>
  <si>
    <t>TC-01, TC-04</t>
  </si>
  <si>
    <t>Đã chốt</t>
  </si>
  <si>
    <t>X06</t>
  </si>
  <si>
    <t>Cách giả lập "bếp không phản hồi quá 5 giây" (chỉnh KDS_TIMEOUT_MS, stub, hay cờ riêng)? isSynced=false thì HTTP là mấy?</t>
  </si>
  <si>
    <t>Có cách giả lập; HTTP 201</t>
  </si>
  <si>
    <t>TC-01-10, TC-10-09</t>
  </si>
  <si>
    <t>X07</t>
  </si>
  <si>
    <t>Cách ép lỗi giữa transaction để kiểm tra rollback?</t>
  </si>
  <si>
    <t>Có cách ép lỗi ở thao tác ghi thứ 2 hoặc 3; API trả 500 LOI_HE_THONG</t>
  </si>
  <si>
    <t>X08</t>
  </si>
  <si>
    <t>soLuong không phải số nguyên (1.5, "abc") hoặc thiếu banId: trả DU_LIEU_KHONG_HOP_LE hay SO_LUONG_KHONG_HOP_LE?</t>
  </si>
  <si>
    <t>Chưa có TC; sẽ thêm khi có câu trả lời</t>
  </si>
  <si>
    <t>(chưa có)</t>
  </si>
  <si>
    <t>X09</t>
  </si>
  <si>
    <t>Sửa/hủy món đã DA_HUY trả mã lỗi gì? Hủy hết món thì đơn thành gì? Gọi thêm vào đơn HOAN_THANH có được không?</t>
  </si>
  <si>
    <t>X10</t>
  </si>
  <si>
    <t>Có cho thanh toán khi món chưa DA_XONG (ví dụ dh-001)? QR thì tienThoi là 0 hay null? TIEN_MAT thiếu tienKhachDua trả mã lỗi gì?</t>
  </si>
  <si>
    <t>Cho phép thanh toán; mã lỗi DU_LIEU_KHONG_HOP_LE; tienThoi QR chưa ràng buộc</t>
  </si>
  <si>
    <t>TC-10-04, 06</t>
  </si>
  <si>
    <t>X11</t>
  </si>
  <si>
    <t>CHU_QUAN có được gọi các API gọi món và thanh toán không?</t>
  </si>
  <si>
    <t>TC-21-11 dùng PHUC_VU → /payments nên không phụ thuộc</t>
  </si>
  <si>
    <t>Tuấn, Hậu</t>
  </si>
  <si>
    <t>X12</t>
  </si>
  <si>
    <t>Chưa có UC Spec (UC21...), SD Tạo order, CD_CapNhat, SD_ThanhToan, CLASSDIAGRAM. Cột "Truy vết" hiện lấy từ api-contract và Bảng phân công.</t>
  </si>
  <si>
    <t>Truy vết tạm theo api-contract và Bảng phân công</t>
  </si>
  <si>
    <t>Sơn, Hậu</t>
  </si>
  <si>
    <t>Cột Truy vết</t>
  </si>
  <si>
    <t>X13</t>
  </si>
  <si>
    <t>Cơ chế token: báo cáo ghi JWT. Cách gửi trong Postman (header Authorization: Bearer ...)?</t>
  </si>
  <si>
    <t>Authorization: Bearer &lt;token&gt;</t>
  </si>
  <si>
    <t>TC-21-10, 11</t>
  </si>
  <si>
    <t>X14</t>
  </si>
  <si>
    <t>Tên màn hình, tên nút trên giao diện (Gửi bếp, Gọi thêm, Xác nhận...) chưa chắc đúng.</t>
  </si>
  <si>
    <t>Dùng tên theo mô tả; sửa khi chạy thực tế</t>
  </si>
  <si>
    <t>Bước giao diện của TC</t>
  </si>
  <si>
    <t>X15</t>
  </si>
  <si>
    <t>Bàn DAT_TRUOC (ban-07, ban-08) có được gọi món không? Contract chỉ nói chặn CAN_DON.</t>
  </si>
  <si>
    <t>X16</t>
  </si>
  <si>
    <t>UC10, UC08</t>
  </si>
  <si>
    <t>Seed dh-004: bàn ban-06 CAN_DON nhưng đơn vẫn DANG_PHUC_VU; tong_tien 70.000 gồm cả món DA_HUY 30.000 (báo cáo mục 7 nói món hủy phải bị loại, tức 40.000). Cố ý hay lỗi seed?</t>
  </si>
  <si>
    <t>Không dùng dh-004 cho TC thanh toán chuẩn</t>
  </si>
  <si>
    <t>TC-10-09; UC08</t>
  </si>
  <si>
    <t>Http: 200, success = True,  data trả về có token, nhanvienID='nv-001', hoTen="Nguyễn Văn Phục Vụ"vaiTro="PHUC_VU", trangChu="/tables.html". Giao diện chuyển hướng thành công sang màn Sơ đồ bàn</t>
  </si>
  <si>
    <t>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</si>
</sst>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b/>
      <sz val="14"/>
      <color rgb="FF1F3864"/>
      <name val="Arial"/>
      <charset val="1"/>
    </font>
    <font>
      <i/>
      <sz val="9"/>
      <color rgb="FF7F7F7F"/>
      <name val="Arial"/>
      <charset val="1"/>
    </font>
    <font>
      <b/>
      <sz val="11"/>
      <color rgb="FFFFFFFF"/>
      <name val="Arial"/>
      <charset val="1"/>
    </font>
    <font>
      <b/>
      <sz val="10"/>
      <color rgb="FF000000"/>
      <name val="Arial"/>
      <charset val="1"/>
    </font>
    <font>
      <sz val="10"/>
      <color rgb="FF000000"/>
      <name val="Arial"/>
      <charset val="1"/>
    </font>
    <font>
      <b/>
      <sz val="10"/>
      <color rgb="FFFFFFFF"/>
      <name val="Arial"/>
      <charset val="1"/>
    </font>
    <font>
      <i/>
      <sz val="10"/>
      <color rgb="FF7F7F7F"/>
      <name val="Arial"/>
      <charset val="1"/>
    </font>
    <font>
      <b/>
      <sz val="11"/>
      <color rgb="FF1F3864"/>
      <name val="Arial"/>
      <charset val="1"/>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1">
    <xf numFmtId="0" fontId="0" fillId="0" borderId="0"/>
  </cellStyleXfs>
  <cellXfs count="24">
    <xf numFmtId="0" fontId="0" fillId="0" borderId="0" xfId="0"/>
    <xf numFmtId="0" fontId="6" fillId="2" borderId="2" xfId="0" applyFont="1" applyFill="1" applyBorder="1" applyAlignment="1">
      <alignment horizontal="center" vertical="center" wrapText="1"/>
    </xf>
    <xf numFmtId="0" fontId="5" fillId="4" borderId="1" xfId="0" applyFont="1" applyFill="1" applyBorder="1" applyAlignment="1">
      <alignment vertical="top" wrapText="1"/>
    </xf>
    <xf numFmtId="0" fontId="5" fillId="0" borderId="1" xfId="0" applyFont="1" applyBorder="1" applyAlignment="1">
      <alignment vertical="top" wrapText="1"/>
    </xf>
    <xf numFmtId="0" fontId="1" fillId="0" borderId="0" xfId="0" applyFont="1"/>
    <xf numFmtId="0" fontId="2" fillId="0" borderId="0" xfId="0" applyFont="1"/>
    <xf numFmtId="0" fontId="3" fillId="2" borderId="0" xfId="0" applyFont="1" applyFill="1"/>
    <xf numFmtId="0" fontId="0" fillId="2" borderId="0" xfId="0" applyFill="1"/>
    <xf numFmtId="0" fontId="4" fillId="3" borderId="1" xfId="0" applyFont="1" applyFill="1" applyBorder="1" applyAlignment="1">
      <alignment vertical="top" wrapText="1"/>
    </xf>
    <xf numFmtId="0" fontId="5" fillId="0" borderId="1" xfId="0" applyFont="1" applyBorder="1" applyAlignment="1">
      <alignment vertical="top" wrapText="1"/>
    </xf>
    <xf numFmtId="0" fontId="6" fillId="2" borderId="1" xfId="0" applyFont="1" applyFill="1" applyBorder="1" applyAlignment="1">
      <alignment horizontal="center" vertical="center"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5" fillId="4" borderId="1" xfId="0" applyFont="1" applyFill="1" applyBorder="1" applyAlignment="1">
      <alignment vertical="top" wrapText="1"/>
    </xf>
    <xf numFmtId="0" fontId="4" fillId="0" borderId="1" xfId="0" applyFont="1" applyBorder="1" applyAlignment="1">
      <alignment vertical="top" wrapText="1"/>
    </xf>
    <xf numFmtId="0" fontId="6" fillId="5" borderId="1" xfId="0" applyFont="1" applyFill="1" applyBorder="1" applyAlignment="1">
      <alignment horizontal="center" vertical="center" wrapText="1"/>
    </xf>
    <xf numFmtId="0" fontId="7" fillId="0" borderId="1" xfId="0" applyFont="1" applyBorder="1" applyAlignment="1">
      <alignment horizontal="center" vertical="top" wrapText="1"/>
    </xf>
    <xf numFmtId="0" fontId="7" fillId="0" borderId="1" xfId="0" applyFont="1" applyBorder="1" applyAlignment="1">
      <alignment vertical="top" wrapText="1"/>
    </xf>
    <xf numFmtId="164" fontId="5" fillId="0" borderId="1" xfId="0" applyNumberFormat="1" applyFont="1" applyBorder="1" applyAlignment="1">
      <alignment horizontal="center" vertical="top" wrapText="1"/>
    </xf>
    <xf numFmtId="0" fontId="4" fillId="3" borderId="1" xfId="0" applyFont="1" applyFill="1" applyBorder="1" applyAlignment="1">
      <alignment horizontal="center" vertical="top" wrapText="1"/>
    </xf>
    <xf numFmtId="0" fontId="5" fillId="3" borderId="1" xfId="0" applyFont="1" applyFill="1" applyBorder="1" applyAlignment="1">
      <alignment vertical="top" wrapText="1"/>
    </xf>
    <xf numFmtId="164" fontId="4" fillId="3" borderId="1" xfId="0" applyNumberFormat="1" applyFont="1" applyFill="1" applyBorder="1" applyAlignment="1">
      <alignment horizontal="center" vertical="top" wrapText="1"/>
    </xf>
    <xf numFmtId="0" fontId="8" fillId="0" borderId="0" xfId="0" applyFont="1"/>
    <xf numFmtId="0" fontId="5" fillId="4" borderId="1" xfId="0" applyFont="1" applyFill="1" applyBorder="1" applyAlignment="1">
      <alignment horizontal="center" vertical="top" wrapText="1"/>
    </xf>
  </cellXfs>
  <cellStyles count="1">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6"/>
  <sheetViews>
    <sheetView showGridLines="0" zoomScale="90" zoomScaleNormal="90" workbookViewId="0"/>
  </sheetViews>
  <sheetFormatPr defaultColWidth="8.7109375" defaultRowHeight="15" x14ac:dyDescent="0.25"/>
  <cols>
    <col min="1" max="1" width="26" customWidth="1"/>
    <col min="2" max="2" width="36" customWidth="1"/>
    <col min="3" max="3" width="16" customWidth="1"/>
    <col min="4" max="5" width="14" customWidth="1"/>
    <col min="6" max="6" width="26" customWidth="1"/>
    <col min="7" max="7" width="12" customWidth="1"/>
  </cols>
  <sheetData>
    <row r="1" spans="1:7" ht="18" x14ac:dyDescent="0.25">
      <c r="A1" s="4" t="s">
        <v>0</v>
      </c>
    </row>
    <row r="2" spans="1:7" x14ac:dyDescent="0.25">
      <c r="A2" s="5" t="s">
        <v>1</v>
      </c>
    </row>
    <row r="4" spans="1:7" x14ac:dyDescent="0.25">
      <c r="A4" s="6" t="s">
        <v>2</v>
      </c>
      <c r="B4" s="7"/>
      <c r="C4" s="7"/>
      <c r="D4" s="7"/>
      <c r="E4" s="7"/>
      <c r="F4" s="7"/>
      <c r="G4" s="7"/>
    </row>
    <row r="5" spans="1:7" ht="16.5" customHeight="1" x14ac:dyDescent="0.25">
      <c r="A5" s="8" t="s">
        <v>3</v>
      </c>
      <c r="B5" s="3" t="s">
        <v>4</v>
      </c>
      <c r="C5" s="3"/>
      <c r="D5" s="3"/>
      <c r="E5" s="3"/>
      <c r="F5" s="3"/>
      <c r="G5" s="3"/>
    </row>
    <row r="6" spans="1:7" ht="16.5" customHeight="1" x14ac:dyDescent="0.25">
      <c r="A6" s="8" t="s">
        <v>5</v>
      </c>
      <c r="B6" s="3" t="s">
        <v>6</v>
      </c>
      <c r="C6" s="3"/>
      <c r="D6" s="3"/>
      <c r="E6" s="3"/>
      <c r="F6" s="3"/>
      <c r="G6" s="3"/>
    </row>
    <row r="7" spans="1:7" ht="16.5" customHeight="1" x14ac:dyDescent="0.25">
      <c r="A7" s="8" t="s">
        <v>7</v>
      </c>
      <c r="B7" s="3" t="s">
        <v>8</v>
      </c>
      <c r="C7" s="3"/>
      <c r="D7" s="3"/>
      <c r="E7" s="3"/>
      <c r="F7" s="3"/>
      <c r="G7" s="3"/>
    </row>
    <row r="8" spans="1:7" ht="43.5" customHeight="1" x14ac:dyDescent="0.25">
      <c r="A8" s="8" t="s">
        <v>9</v>
      </c>
      <c r="B8" s="3" t="s">
        <v>10</v>
      </c>
      <c r="C8" s="3"/>
      <c r="D8" s="3"/>
      <c r="E8" s="3"/>
      <c r="F8" s="3"/>
      <c r="G8" s="3"/>
    </row>
    <row r="9" spans="1:7" ht="30" customHeight="1" x14ac:dyDescent="0.25">
      <c r="A9" s="8" t="s">
        <v>11</v>
      </c>
      <c r="B9" s="3" t="s">
        <v>12</v>
      </c>
      <c r="C9" s="3"/>
      <c r="D9" s="3"/>
      <c r="E9" s="3"/>
      <c r="F9" s="3"/>
      <c r="G9" s="3"/>
    </row>
    <row r="11" spans="1:7" x14ac:dyDescent="0.25">
      <c r="A11" s="6" t="s">
        <v>13</v>
      </c>
      <c r="B11" s="7"/>
      <c r="C11" s="7"/>
      <c r="D11" s="7"/>
      <c r="E11" s="7"/>
      <c r="F11" s="7"/>
      <c r="G11" s="7"/>
    </row>
    <row r="12" spans="1:7" x14ac:dyDescent="0.25">
      <c r="A12" s="10" t="s">
        <v>14</v>
      </c>
      <c r="B12" s="10" t="s">
        <v>15</v>
      </c>
      <c r="C12" s="10" t="s">
        <v>16</v>
      </c>
      <c r="D12" s="10" t="s">
        <v>17</v>
      </c>
      <c r="E12" s="10" t="s">
        <v>18</v>
      </c>
      <c r="F12" s="10" t="s">
        <v>19</v>
      </c>
      <c r="G12" s="10" t="s">
        <v>20</v>
      </c>
    </row>
    <row r="13" spans="1:7" ht="16.5" customHeight="1" x14ac:dyDescent="0.25">
      <c r="A13" s="11" t="s">
        <v>21</v>
      </c>
      <c r="B13" s="9" t="s">
        <v>22</v>
      </c>
      <c r="C13" s="12" t="s">
        <v>23</v>
      </c>
      <c r="D13" s="12" t="s">
        <v>24</v>
      </c>
      <c r="E13" s="12" t="s">
        <v>24</v>
      </c>
      <c r="F13" s="12" t="s">
        <v>25</v>
      </c>
      <c r="G13" s="12">
        <f>COUNTIF('Test Case'!$B:$B,A13)</f>
        <v>11</v>
      </c>
    </row>
    <row r="14" spans="1:7" ht="16.5" customHeight="1" x14ac:dyDescent="0.25">
      <c r="A14" s="11" t="s">
        <v>26</v>
      </c>
      <c r="B14" s="9" t="s">
        <v>27</v>
      </c>
      <c r="C14" s="12" t="s">
        <v>28</v>
      </c>
      <c r="D14" s="12" t="s">
        <v>29</v>
      </c>
      <c r="E14" s="12" t="s">
        <v>24</v>
      </c>
      <c r="F14" s="12" t="s">
        <v>25</v>
      </c>
      <c r="G14" s="12">
        <f>COUNTIF('Test Case'!$B:$B,A14)</f>
        <v>11</v>
      </c>
    </row>
    <row r="15" spans="1:7" ht="30" customHeight="1" x14ac:dyDescent="0.25">
      <c r="A15" s="11" t="s">
        <v>30</v>
      </c>
      <c r="B15" s="9" t="s">
        <v>31</v>
      </c>
      <c r="C15" s="12" t="s">
        <v>28</v>
      </c>
      <c r="D15" s="12" t="s">
        <v>29</v>
      </c>
      <c r="E15" s="12" t="s">
        <v>24</v>
      </c>
      <c r="F15" s="12" t="s">
        <v>25</v>
      </c>
      <c r="G15" s="12">
        <f>COUNTIF('Test Case'!$B:$B,A15)</f>
        <v>13</v>
      </c>
    </row>
    <row r="16" spans="1:7" ht="30" customHeight="1" x14ac:dyDescent="0.25">
      <c r="A16" s="11" t="s">
        <v>32</v>
      </c>
      <c r="B16" s="9" t="s">
        <v>33</v>
      </c>
      <c r="C16" s="12" t="s">
        <v>34</v>
      </c>
      <c r="D16" s="12" t="s">
        <v>29</v>
      </c>
      <c r="E16" s="12" t="s">
        <v>24</v>
      </c>
      <c r="F16" s="12" t="s">
        <v>25</v>
      </c>
      <c r="G16" s="12">
        <f>COUNTIF('Test Case'!$B:$B,A16)</f>
        <v>11</v>
      </c>
    </row>
    <row r="17" spans="1:7" ht="16.5" customHeight="1" x14ac:dyDescent="0.25">
      <c r="A17" s="11" t="s">
        <v>35</v>
      </c>
      <c r="B17" s="9" t="s">
        <v>36</v>
      </c>
      <c r="C17" s="12" t="s">
        <v>37</v>
      </c>
      <c r="D17" s="12" t="s">
        <v>38</v>
      </c>
      <c r="E17" s="12" t="s">
        <v>38</v>
      </c>
      <c r="F17" s="12" t="s">
        <v>39</v>
      </c>
      <c r="G17" s="12">
        <f>COUNTIF('Test Case'!$B:$B,A17)</f>
        <v>5</v>
      </c>
    </row>
    <row r="18" spans="1:7" ht="16.5" customHeight="1" x14ac:dyDescent="0.25">
      <c r="A18" s="11" t="s">
        <v>40</v>
      </c>
      <c r="B18" s="9" t="s">
        <v>41</v>
      </c>
      <c r="C18" s="12" t="s">
        <v>37</v>
      </c>
      <c r="D18" s="12" t="s">
        <v>38</v>
      </c>
      <c r="E18" s="12" t="s">
        <v>38</v>
      </c>
      <c r="F18" s="12" t="s">
        <v>39</v>
      </c>
      <c r="G18" s="12">
        <f>COUNTIF('Test Case'!$B:$B,A18)</f>
        <v>6</v>
      </c>
    </row>
    <row r="19" spans="1:7" ht="16.5" customHeight="1" x14ac:dyDescent="0.25">
      <c r="A19" s="11" t="s">
        <v>42</v>
      </c>
      <c r="B19" s="9" t="s">
        <v>43</v>
      </c>
      <c r="C19" s="12" t="s">
        <v>37</v>
      </c>
      <c r="D19" s="12" t="s">
        <v>38</v>
      </c>
      <c r="E19" s="12" t="s">
        <v>38</v>
      </c>
      <c r="F19" s="12" t="s">
        <v>39</v>
      </c>
      <c r="G19" s="12">
        <f>COUNTIF('Test Case'!$B:$B,A19)</f>
        <v>5</v>
      </c>
    </row>
    <row r="20" spans="1:7" ht="16.5" customHeight="1" x14ac:dyDescent="0.25">
      <c r="A20" s="11" t="s">
        <v>44</v>
      </c>
      <c r="B20" s="9" t="s">
        <v>45</v>
      </c>
      <c r="C20" s="12" t="s">
        <v>34</v>
      </c>
      <c r="D20" s="12" t="s">
        <v>29</v>
      </c>
      <c r="E20" s="12" t="s">
        <v>24</v>
      </c>
      <c r="F20" s="12" t="s">
        <v>39</v>
      </c>
      <c r="G20" s="12">
        <f>COUNTIF('Test Case'!$B:$B,A20)</f>
        <v>6</v>
      </c>
    </row>
    <row r="22" spans="1:7" x14ac:dyDescent="0.25">
      <c r="A22" s="6" t="s">
        <v>46</v>
      </c>
      <c r="B22" s="7"/>
      <c r="C22" s="7"/>
      <c r="D22" s="7"/>
      <c r="E22" s="7"/>
      <c r="F22" s="7"/>
      <c r="G22" s="7"/>
    </row>
    <row r="23" spans="1:7" ht="16.5" customHeight="1" x14ac:dyDescent="0.25">
      <c r="A23" s="8" t="s">
        <v>47</v>
      </c>
      <c r="B23" s="2" t="s">
        <v>48</v>
      </c>
      <c r="C23" s="2"/>
      <c r="D23" s="2"/>
      <c r="E23" s="2"/>
      <c r="F23" s="2"/>
      <c r="G23" s="2"/>
    </row>
    <row r="24" spans="1:7" ht="16.5" customHeight="1" x14ac:dyDescent="0.25">
      <c r="A24" s="8" t="s">
        <v>49</v>
      </c>
      <c r="B24" s="2" t="s">
        <v>50</v>
      </c>
      <c r="C24" s="2"/>
      <c r="D24" s="2"/>
      <c r="E24" s="2"/>
      <c r="F24" s="2"/>
      <c r="G24" s="2"/>
    </row>
    <row r="25" spans="1:7" ht="30" customHeight="1" x14ac:dyDescent="0.25">
      <c r="A25" s="8" t="s">
        <v>51</v>
      </c>
      <c r="B25" s="3" t="s">
        <v>52</v>
      </c>
      <c r="C25" s="3"/>
      <c r="D25" s="3"/>
      <c r="E25" s="3"/>
      <c r="F25" s="3"/>
      <c r="G25" s="3"/>
    </row>
    <row r="26" spans="1:7" ht="16.5" customHeight="1" x14ac:dyDescent="0.25">
      <c r="A26" s="8" t="s">
        <v>53</v>
      </c>
      <c r="B26" s="3" t="s">
        <v>54</v>
      </c>
      <c r="C26" s="3"/>
      <c r="D26" s="3"/>
      <c r="E26" s="3"/>
      <c r="F26" s="3"/>
      <c r="G26" s="3"/>
    </row>
    <row r="27" spans="1:7" ht="16.5" customHeight="1" x14ac:dyDescent="0.25">
      <c r="A27" s="8" t="s">
        <v>55</v>
      </c>
      <c r="B27" s="2" t="s">
        <v>56</v>
      </c>
      <c r="C27" s="2"/>
      <c r="D27" s="2"/>
      <c r="E27" s="2"/>
      <c r="F27" s="2"/>
      <c r="G27" s="2"/>
    </row>
    <row r="28" spans="1:7" ht="16.5" customHeight="1" x14ac:dyDescent="0.25">
      <c r="A28" s="8" t="s">
        <v>57</v>
      </c>
      <c r="B28" s="2" t="s">
        <v>58</v>
      </c>
      <c r="C28" s="2"/>
      <c r="D28" s="2"/>
      <c r="E28" s="2"/>
      <c r="F28" s="2"/>
      <c r="G28" s="2"/>
    </row>
    <row r="30" spans="1:7" x14ac:dyDescent="0.25">
      <c r="A30" s="6" t="s">
        <v>59</v>
      </c>
      <c r="B30" s="7"/>
      <c r="C30" s="7"/>
      <c r="D30" s="7"/>
      <c r="E30" s="7"/>
      <c r="F30" s="7"/>
      <c r="G30" s="7"/>
    </row>
    <row r="31" spans="1:7" ht="15" customHeight="1" x14ac:dyDescent="0.25">
      <c r="A31" s="10" t="s">
        <v>60</v>
      </c>
      <c r="B31" s="10" t="s">
        <v>61</v>
      </c>
      <c r="C31" s="1" t="s">
        <v>62</v>
      </c>
      <c r="D31" s="1"/>
      <c r="E31" s="1"/>
      <c r="F31" s="1"/>
      <c r="G31" s="1"/>
    </row>
    <row r="32" spans="1:7" ht="15" customHeight="1" x14ac:dyDescent="0.25">
      <c r="A32" s="8" t="s">
        <v>63</v>
      </c>
      <c r="B32" s="9" t="s">
        <v>64</v>
      </c>
      <c r="C32" s="3" t="s">
        <v>65</v>
      </c>
      <c r="D32" s="3"/>
      <c r="E32" s="3"/>
      <c r="F32" s="3"/>
      <c r="G32" s="3"/>
    </row>
    <row r="33" spans="1:7" ht="15" customHeight="1" x14ac:dyDescent="0.25">
      <c r="A33" s="8" t="s">
        <v>66</v>
      </c>
      <c r="B33" s="9" t="s">
        <v>67</v>
      </c>
      <c r="C33" s="3" t="s">
        <v>68</v>
      </c>
      <c r="D33" s="3"/>
      <c r="E33" s="3"/>
      <c r="F33" s="3"/>
      <c r="G33" s="3"/>
    </row>
    <row r="34" spans="1:7" ht="15" customHeight="1" x14ac:dyDescent="0.25">
      <c r="A34" s="8" t="s">
        <v>69</v>
      </c>
      <c r="B34" s="9" t="s">
        <v>67</v>
      </c>
      <c r="C34" s="3" t="s">
        <v>70</v>
      </c>
      <c r="D34" s="3"/>
      <c r="E34" s="3"/>
      <c r="F34" s="3"/>
      <c r="G34" s="3"/>
    </row>
    <row r="35" spans="1:7" ht="15" customHeight="1" x14ac:dyDescent="0.25">
      <c r="A35" s="8" t="s">
        <v>71</v>
      </c>
      <c r="B35" s="9" t="s">
        <v>72</v>
      </c>
      <c r="C35" s="3" t="s">
        <v>73</v>
      </c>
      <c r="D35" s="3"/>
      <c r="E35" s="3"/>
      <c r="F35" s="3"/>
      <c r="G35" s="3"/>
    </row>
    <row r="36" spans="1:7" ht="15" customHeight="1" x14ac:dyDescent="0.25">
      <c r="A36" s="8" t="s">
        <v>74</v>
      </c>
      <c r="B36" s="9" t="s">
        <v>75</v>
      </c>
      <c r="C36" s="3" t="s">
        <v>76</v>
      </c>
      <c r="D36" s="3"/>
      <c r="E36" s="3"/>
      <c r="F36" s="3"/>
      <c r="G36" s="3"/>
    </row>
    <row r="38" spans="1:7" x14ac:dyDescent="0.25">
      <c r="A38" s="6" t="s">
        <v>77</v>
      </c>
      <c r="B38" s="7"/>
      <c r="C38" s="7"/>
      <c r="D38" s="7"/>
      <c r="E38" s="7"/>
      <c r="F38" s="7"/>
      <c r="G38" s="7"/>
    </row>
    <row r="39" spans="1:7" ht="43.5" customHeight="1" x14ac:dyDescent="0.25">
      <c r="A39" s="8" t="s">
        <v>78</v>
      </c>
      <c r="B39" s="3" t="s">
        <v>79</v>
      </c>
      <c r="C39" s="3"/>
      <c r="D39" s="3"/>
      <c r="E39" s="3"/>
      <c r="F39" s="3"/>
      <c r="G39" s="3"/>
    </row>
    <row r="40" spans="1:7" ht="43.5" customHeight="1" x14ac:dyDescent="0.25">
      <c r="A40" s="8" t="s">
        <v>80</v>
      </c>
      <c r="B40" s="3" t="s">
        <v>81</v>
      </c>
      <c r="C40" s="3"/>
      <c r="D40" s="3"/>
      <c r="E40" s="3"/>
      <c r="F40" s="3"/>
      <c r="G40" s="3"/>
    </row>
    <row r="41" spans="1:7" ht="16.5" customHeight="1" x14ac:dyDescent="0.25">
      <c r="A41" s="8" t="s">
        <v>82</v>
      </c>
      <c r="B41" s="3" t="s">
        <v>83</v>
      </c>
      <c r="C41" s="3"/>
      <c r="D41" s="3"/>
      <c r="E41" s="3"/>
      <c r="F41" s="3"/>
      <c r="G41" s="3"/>
    </row>
    <row r="42" spans="1:7" ht="43.5" customHeight="1" x14ac:dyDescent="0.25">
      <c r="A42" s="8" t="s">
        <v>84</v>
      </c>
      <c r="B42" s="3" t="s">
        <v>85</v>
      </c>
      <c r="C42" s="3"/>
      <c r="D42" s="3"/>
      <c r="E42" s="3"/>
      <c r="F42" s="3"/>
      <c r="G42" s="3"/>
    </row>
    <row r="44" spans="1:7" x14ac:dyDescent="0.25">
      <c r="A44" s="6" t="s">
        <v>86</v>
      </c>
      <c r="B44" s="7"/>
      <c r="C44" s="7"/>
      <c r="D44" s="7"/>
      <c r="E44" s="7"/>
      <c r="F44" s="7"/>
      <c r="G44" s="7"/>
    </row>
    <row r="45" spans="1:7" ht="30" customHeight="1" x14ac:dyDescent="0.25">
      <c r="A45" s="8" t="s">
        <v>87</v>
      </c>
      <c r="B45" s="3" t="s">
        <v>88</v>
      </c>
      <c r="C45" s="3"/>
      <c r="D45" s="3"/>
      <c r="E45" s="3"/>
      <c r="F45" s="3"/>
      <c r="G45" s="3"/>
    </row>
    <row r="46" spans="1:7" ht="30" customHeight="1" x14ac:dyDescent="0.25">
      <c r="A46" s="8" t="s">
        <v>89</v>
      </c>
      <c r="B46" s="3" t="s">
        <v>90</v>
      </c>
      <c r="C46" s="3"/>
      <c r="D46" s="3"/>
      <c r="E46" s="3"/>
      <c r="F46" s="3"/>
      <c r="G46" s="3"/>
    </row>
    <row r="47" spans="1:7" ht="43.5" customHeight="1" x14ac:dyDescent="0.25">
      <c r="A47" s="8" t="s">
        <v>91</v>
      </c>
      <c r="B47" s="3" t="s">
        <v>92</v>
      </c>
      <c r="C47" s="3"/>
      <c r="D47" s="3"/>
      <c r="E47" s="3"/>
      <c r="F47" s="3"/>
      <c r="G47" s="3"/>
    </row>
    <row r="48" spans="1:7" ht="30" customHeight="1" x14ac:dyDescent="0.25">
      <c r="A48" s="8" t="s">
        <v>93</v>
      </c>
      <c r="B48" s="3" t="s">
        <v>94</v>
      </c>
      <c r="C48" s="3"/>
      <c r="D48" s="3"/>
      <c r="E48" s="3"/>
      <c r="F48" s="3"/>
      <c r="G48" s="3"/>
    </row>
    <row r="50" spans="1:7" x14ac:dyDescent="0.25">
      <c r="A50" s="6" t="s">
        <v>95</v>
      </c>
      <c r="B50" s="7"/>
      <c r="C50" s="7"/>
      <c r="D50" s="7"/>
      <c r="E50" s="7"/>
      <c r="F50" s="7"/>
      <c r="G50" s="7"/>
    </row>
    <row r="51" spans="1:7" ht="15" customHeight="1" x14ac:dyDescent="0.25">
      <c r="A51" s="8" t="s">
        <v>96</v>
      </c>
      <c r="B51" s="3" t="s">
        <v>97</v>
      </c>
      <c r="C51" s="3"/>
      <c r="D51" s="3"/>
      <c r="E51" s="3"/>
      <c r="F51" s="3"/>
      <c r="G51" s="3"/>
    </row>
    <row r="52" spans="1:7" ht="15" customHeight="1" x14ac:dyDescent="0.25">
      <c r="A52" s="8" t="s">
        <v>98</v>
      </c>
      <c r="B52" s="3" t="s">
        <v>99</v>
      </c>
      <c r="C52" s="3"/>
      <c r="D52" s="3"/>
      <c r="E52" s="3"/>
      <c r="F52" s="3"/>
      <c r="G52" s="3"/>
    </row>
    <row r="53" spans="1:7" ht="15" customHeight="1" x14ac:dyDescent="0.25">
      <c r="A53" s="8" t="s">
        <v>100</v>
      </c>
      <c r="B53" s="3" t="s">
        <v>101</v>
      </c>
      <c r="C53" s="3"/>
      <c r="D53" s="3"/>
      <c r="E53" s="3"/>
      <c r="F53" s="3"/>
      <c r="G53" s="3"/>
    </row>
    <row r="54" spans="1:7" ht="15" customHeight="1" x14ac:dyDescent="0.25">
      <c r="A54" s="8" t="s">
        <v>102</v>
      </c>
      <c r="B54" s="3" t="s">
        <v>103</v>
      </c>
      <c r="C54" s="3"/>
      <c r="D54" s="3"/>
      <c r="E54" s="3"/>
      <c r="F54" s="3"/>
      <c r="G54" s="3"/>
    </row>
    <row r="55" spans="1:7" ht="15" customHeight="1" x14ac:dyDescent="0.25">
      <c r="A55" s="8" t="s">
        <v>104</v>
      </c>
      <c r="B55" s="3" t="s">
        <v>105</v>
      </c>
      <c r="C55" s="3"/>
      <c r="D55" s="3"/>
      <c r="E55" s="3"/>
      <c r="F55" s="3"/>
      <c r="G55" s="3"/>
    </row>
    <row r="56" spans="1:7" ht="15" customHeight="1" x14ac:dyDescent="0.25">
      <c r="A56" s="8" t="s">
        <v>106</v>
      </c>
      <c r="B56" s="3" t="s">
        <v>107</v>
      </c>
      <c r="C56" s="3"/>
      <c r="D56" s="3"/>
      <c r="E56" s="3"/>
      <c r="F56" s="3"/>
      <c r="G56" s="3"/>
    </row>
  </sheetData>
  <mergeCells count="31">
    <mergeCell ref="B56:G56"/>
    <mergeCell ref="B51:G51"/>
    <mergeCell ref="B52:G52"/>
    <mergeCell ref="B53:G53"/>
    <mergeCell ref="B54:G54"/>
    <mergeCell ref="B55:G55"/>
    <mergeCell ref="B42:G42"/>
    <mergeCell ref="B45:G45"/>
    <mergeCell ref="B46:G46"/>
    <mergeCell ref="B47:G47"/>
    <mergeCell ref="B48:G48"/>
    <mergeCell ref="C35:G35"/>
    <mergeCell ref="C36:G36"/>
    <mergeCell ref="B39:G39"/>
    <mergeCell ref="B40:G40"/>
    <mergeCell ref="B41:G41"/>
    <mergeCell ref="B28:G28"/>
    <mergeCell ref="C31:G31"/>
    <mergeCell ref="C32:G32"/>
    <mergeCell ref="C33:G33"/>
    <mergeCell ref="C34:G34"/>
    <mergeCell ref="B23:G23"/>
    <mergeCell ref="B24:G24"/>
    <mergeCell ref="B25:G25"/>
    <mergeCell ref="B26:G26"/>
    <mergeCell ref="B27:G27"/>
    <mergeCell ref="B5:G5"/>
    <mergeCell ref="B6:G6"/>
    <mergeCell ref="B7:G7"/>
    <mergeCell ref="B8:G8"/>
    <mergeCell ref="B9:G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sheetPr>
  <dimension ref="A1:D21"/>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18" customWidth="1"/>
    <col min="2" max="2" width="52" customWidth="1"/>
    <col min="3" max="3" width="34" customWidth="1"/>
    <col min="4" max="4" width="60" customWidth="1"/>
  </cols>
  <sheetData>
    <row r="1" spans="1:4" x14ac:dyDescent="0.25">
      <c r="A1" s="5" t="s">
        <v>108</v>
      </c>
    </row>
    <row r="2" spans="1:4" ht="31.5" customHeight="1" x14ac:dyDescent="0.25">
      <c r="A2" s="10" t="s">
        <v>109</v>
      </c>
      <c r="B2" s="10" t="s">
        <v>110</v>
      </c>
      <c r="C2" s="10" t="s">
        <v>111</v>
      </c>
      <c r="D2" s="10" t="s">
        <v>112</v>
      </c>
    </row>
    <row r="3" spans="1:4" ht="25.5" x14ac:dyDescent="0.25">
      <c r="A3" s="14" t="s">
        <v>113</v>
      </c>
      <c r="B3" s="9" t="s">
        <v>114</v>
      </c>
      <c r="C3" s="9" t="s">
        <v>115</v>
      </c>
      <c r="D3" s="9" t="s">
        <v>116</v>
      </c>
    </row>
    <row r="4" spans="1:4" x14ac:dyDescent="0.25">
      <c r="A4" s="14" t="s">
        <v>117</v>
      </c>
      <c r="B4" s="9" t="s">
        <v>118</v>
      </c>
      <c r="C4" s="9" t="s">
        <v>119</v>
      </c>
      <c r="D4" s="9"/>
    </row>
    <row r="5" spans="1:4" x14ac:dyDescent="0.25">
      <c r="A5" s="14" t="s">
        <v>120</v>
      </c>
      <c r="B5" s="9" t="s">
        <v>121</v>
      </c>
      <c r="C5" s="9" t="s">
        <v>122</v>
      </c>
      <c r="D5" s="9"/>
    </row>
    <row r="6" spans="1:4" x14ac:dyDescent="0.25">
      <c r="A6" s="14" t="s">
        <v>123</v>
      </c>
      <c r="B6" s="9" t="s">
        <v>124</v>
      </c>
      <c r="C6" s="9" t="s">
        <v>125</v>
      </c>
      <c r="D6" s="9" t="s">
        <v>126</v>
      </c>
    </row>
    <row r="7" spans="1:4" x14ac:dyDescent="0.25">
      <c r="A7" s="14" t="s">
        <v>127</v>
      </c>
      <c r="B7" s="9" t="s">
        <v>128</v>
      </c>
      <c r="C7" s="9" t="s">
        <v>129</v>
      </c>
      <c r="D7" s="9" t="s">
        <v>130</v>
      </c>
    </row>
    <row r="8" spans="1:4" x14ac:dyDescent="0.25">
      <c r="A8" s="14" t="s">
        <v>131</v>
      </c>
      <c r="B8" s="9" t="s">
        <v>132</v>
      </c>
      <c r="C8" s="9" t="s">
        <v>133</v>
      </c>
      <c r="D8" s="9" t="s">
        <v>134</v>
      </c>
    </row>
    <row r="9" spans="1:4" ht="25.5" x14ac:dyDescent="0.25">
      <c r="A9" s="14" t="s">
        <v>135</v>
      </c>
      <c r="B9" s="9" t="s">
        <v>136</v>
      </c>
      <c r="C9" s="9" t="s">
        <v>137</v>
      </c>
      <c r="D9" s="9"/>
    </row>
    <row r="10" spans="1:4" ht="25.5" x14ac:dyDescent="0.25">
      <c r="A10" s="14" t="s">
        <v>138</v>
      </c>
      <c r="B10" s="9" t="s">
        <v>139</v>
      </c>
      <c r="C10" s="9" t="s">
        <v>140</v>
      </c>
      <c r="D10" s="9"/>
    </row>
    <row r="11" spans="1:4" ht="38.25" x14ac:dyDescent="0.25">
      <c r="A11" s="14" t="s">
        <v>141</v>
      </c>
      <c r="B11" s="9" t="s">
        <v>142</v>
      </c>
      <c r="C11" s="9" t="s">
        <v>143</v>
      </c>
      <c r="D11" s="9" t="s">
        <v>144</v>
      </c>
    </row>
    <row r="12" spans="1:4" x14ac:dyDescent="0.25">
      <c r="A12" s="14" t="s">
        <v>145</v>
      </c>
      <c r="B12" s="9" t="s">
        <v>146</v>
      </c>
      <c r="C12" s="9" t="s">
        <v>147</v>
      </c>
      <c r="D12" s="9" t="s">
        <v>148</v>
      </c>
    </row>
    <row r="13" spans="1:4" x14ac:dyDescent="0.25">
      <c r="A13" s="14" t="s">
        <v>149</v>
      </c>
      <c r="B13" s="9" t="s">
        <v>150</v>
      </c>
      <c r="C13" s="9" t="s">
        <v>151</v>
      </c>
      <c r="D13" s="9" t="s">
        <v>152</v>
      </c>
    </row>
    <row r="14" spans="1:4" x14ac:dyDescent="0.25">
      <c r="A14" s="14" t="s">
        <v>153</v>
      </c>
      <c r="B14" s="9" t="s">
        <v>154</v>
      </c>
      <c r="C14" s="9" t="s">
        <v>155</v>
      </c>
      <c r="D14" s="9"/>
    </row>
    <row r="15" spans="1:4" x14ac:dyDescent="0.25">
      <c r="A15" s="14" t="s">
        <v>156</v>
      </c>
      <c r="B15" s="9" t="s">
        <v>157</v>
      </c>
      <c r="C15" s="9" t="s">
        <v>158</v>
      </c>
      <c r="D15" s="9" t="s">
        <v>159</v>
      </c>
    </row>
    <row r="16" spans="1:4" ht="25.5" x14ac:dyDescent="0.25">
      <c r="A16" s="14" t="s">
        <v>160</v>
      </c>
      <c r="B16" s="9" t="s">
        <v>161</v>
      </c>
      <c r="C16" s="9" t="s">
        <v>162</v>
      </c>
      <c r="D16" s="9" t="s">
        <v>163</v>
      </c>
    </row>
    <row r="17" spans="1:4" ht="25.5" x14ac:dyDescent="0.25">
      <c r="A17" s="14" t="s">
        <v>164</v>
      </c>
      <c r="B17" s="9" t="s">
        <v>165</v>
      </c>
      <c r="C17" s="9" t="s">
        <v>166</v>
      </c>
      <c r="D17" s="9" t="s">
        <v>167</v>
      </c>
    </row>
    <row r="18" spans="1:4" ht="25.5" x14ac:dyDescent="0.25">
      <c r="A18" s="14" t="s">
        <v>168</v>
      </c>
      <c r="B18" s="9" t="s">
        <v>169</v>
      </c>
      <c r="C18" s="9" t="s">
        <v>170</v>
      </c>
      <c r="D18" s="9" t="s">
        <v>171</v>
      </c>
    </row>
    <row r="19" spans="1:4" ht="25.5" x14ac:dyDescent="0.25">
      <c r="A19" s="14" t="s">
        <v>172</v>
      </c>
      <c r="B19" s="9" t="s">
        <v>173</v>
      </c>
      <c r="C19" s="9" t="s">
        <v>174</v>
      </c>
      <c r="D19" s="9" t="s">
        <v>175</v>
      </c>
    </row>
    <row r="20" spans="1:4" ht="25.5" x14ac:dyDescent="0.25">
      <c r="A20" s="14" t="s">
        <v>176</v>
      </c>
      <c r="B20" s="9" t="s">
        <v>177</v>
      </c>
      <c r="C20" s="9" t="s">
        <v>178</v>
      </c>
      <c r="D20" s="9" t="s">
        <v>179</v>
      </c>
    </row>
    <row r="21" spans="1:4" ht="38.25" x14ac:dyDescent="0.25">
      <c r="A21" s="14" t="s">
        <v>180</v>
      </c>
      <c r="B21" s="9" t="s">
        <v>181</v>
      </c>
      <c r="C21" s="9" t="s">
        <v>182</v>
      </c>
      <c r="D21" s="9" t="s">
        <v>183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C13"/>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38" customWidth="1"/>
    <col min="2" max="2" width="110" customWidth="1"/>
    <col min="3" max="3" width="34" customWidth="1"/>
  </cols>
  <sheetData>
    <row r="1" spans="1:3" x14ac:dyDescent="0.25">
      <c r="A1" s="5" t="s">
        <v>184</v>
      </c>
    </row>
    <row r="2" spans="1:3" ht="31.5" customHeight="1" x14ac:dyDescent="0.25">
      <c r="A2" s="10" t="s">
        <v>185</v>
      </c>
      <c r="B2" s="10" t="s">
        <v>186</v>
      </c>
      <c r="C2" s="10" t="s">
        <v>187</v>
      </c>
    </row>
    <row r="3" spans="1:3" ht="25.5" x14ac:dyDescent="0.25">
      <c r="A3" s="14" t="s">
        <v>188</v>
      </c>
      <c r="B3" s="9" t="s">
        <v>189</v>
      </c>
      <c r="C3" s="9" t="s">
        <v>190</v>
      </c>
    </row>
    <row r="4" spans="1:3" ht="25.5" x14ac:dyDescent="0.25">
      <c r="A4" s="14" t="s">
        <v>191</v>
      </c>
      <c r="B4" s="9" t="s">
        <v>192</v>
      </c>
      <c r="C4" s="9" t="s">
        <v>193</v>
      </c>
    </row>
    <row r="5" spans="1:3" ht="25.5" x14ac:dyDescent="0.25">
      <c r="A5" s="14" t="s">
        <v>194</v>
      </c>
      <c r="B5" s="9" t="s">
        <v>195</v>
      </c>
      <c r="C5" s="9" t="s">
        <v>196</v>
      </c>
    </row>
    <row r="6" spans="1:3" x14ac:dyDescent="0.25">
      <c r="A6" s="14" t="s">
        <v>197</v>
      </c>
      <c r="B6" s="9" t="s">
        <v>198</v>
      </c>
      <c r="C6" s="9" t="s">
        <v>199</v>
      </c>
    </row>
    <row r="7" spans="1:3" x14ac:dyDescent="0.25">
      <c r="A7" s="14" t="s">
        <v>200</v>
      </c>
      <c r="B7" s="9" t="s">
        <v>201</v>
      </c>
      <c r="C7" s="9" t="s">
        <v>21</v>
      </c>
    </row>
    <row r="8" spans="1:3" x14ac:dyDescent="0.25">
      <c r="A8" s="14" t="s">
        <v>202</v>
      </c>
      <c r="B8" s="9" t="s">
        <v>203</v>
      </c>
      <c r="C8" s="9" t="s">
        <v>204</v>
      </c>
    </row>
    <row r="9" spans="1:3" x14ac:dyDescent="0.25">
      <c r="A9" s="14" t="s">
        <v>205</v>
      </c>
      <c r="B9" s="9" t="s">
        <v>206</v>
      </c>
      <c r="C9" s="9" t="s">
        <v>207</v>
      </c>
    </row>
    <row r="10" spans="1:3" x14ac:dyDescent="0.25">
      <c r="A10" s="14" t="s">
        <v>208</v>
      </c>
      <c r="B10" s="9" t="s">
        <v>209</v>
      </c>
      <c r="C10" s="9" t="s">
        <v>210</v>
      </c>
    </row>
    <row r="11" spans="1:3" x14ac:dyDescent="0.25">
      <c r="A11" s="14" t="s">
        <v>211</v>
      </c>
      <c r="B11" s="9" t="s">
        <v>212</v>
      </c>
      <c r="C11" s="9" t="s">
        <v>32</v>
      </c>
    </row>
    <row r="12" spans="1:3" x14ac:dyDescent="0.25">
      <c r="A12" s="14" t="s">
        <v>213</v>
      </c>
      <c r="B12" s="9" t="s">
        <v>214</v>
      </c>
      <c r="C12" s="9" t="s">
        <v>215</v>
      </c>
    </row>
    <row r="13" spans="1:3" x14ac:dyDescent="0.25">
      <c r="A13" s="14" t="s">
        <v>216</v>
      </c>
      <c r="B13" s="9" t="s">
        <v>217</v>
      </c>
      <c r="C13" s="9" t="s">
        <v>26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O69"/>
  <sheetViews>
    <sheetView tabSelected="1" zoomScale="90" zoomScaleNormal="90" workbookViewId="0">
      <pane xSplit="3" ySplit="1" topLeftCell="L2" activePane="bottomRight" state="frozen"/>
      <selection pane="topRight" activeCell="D1" sqref="D1"/>
      <selection pane="bottomLeft" activeCell="A3" sqref="A3"/>
      <selection pane="bottomRight" activeCell="N2" sqref="N2"/>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0" customWidth="1"/>
    <col min="11" max="11" width="52" customWidth="1"/>
    <col min="12" max="12" width="49" customWidth="1"/>
    <col min="13" max="13" width="12" customWidth="1"/>
    <col min="14" max="14" width="20" customWidth="1"/>
    <col min="15" max="15" width="34" customWidth="1"/>
  </cols>
  <sheetData>
    <row r="1" spans="1:15" ht="31.5" customHeight="1" x14ac:dyDescent="0.25">
      <c r="A1" s="10" t="s">
        <v>218</v>
      </c>
      <c r="B1" s="10" t="s">
        <v>14</v>
      </c>
      <c r="C1" s="10" t="s">
        <v>219</v>
      </c>
      <c r="D1" s="10" t="s">
        <v>220</v>
      </c>
      <c r="E1" s="10" t="s">
        <v>221</v>
      </c>
      <c r="F1" s="10" t="s">
        <v>222</v>
      </c>
      <c r="G1" s="10" t="s">
        <v>223</v>
      </c>
      <c r="H1" s="10" t="s">
        <v>224</v>
      </c>
      <c r="I1" s="10" t="s">
        <v>225</v>
      </c>
      <c r="J1" s="10" t="s">
        <v>226</v>
      </c>
      <c r="K1" s="10" t="s">
        <v>227</v>
      </c>
      <c r="L1" s="15" t="s">
        <v>228</v>
      </c>
      <c r="M1" s="15" t="s">
        <v>229</v>
      </c>
      <c r="N1" s="15" t="s">
        <v>230</v>
      </c>
      <c r="O1" s="10" t="s">
        <v>231</v>
      </c>
    </row>
    <row r="2" spans="1:15" ht="51" x14ac:dyDescent="0.25">
      <c r="A2" s="11" t="s">
        <v>232</v>
      </c>
      <c r="B2" s="12" t="s">
        <v>21</v>
      </c>
      <c r="C2" s="9" t="s">
        <v>233</v>
      </c>
      <c r="D2" s="9" t="s">
        <v>234</v>
      </c>
      <c r="E2" s="9" t="s">
        <v>235</v>
      </c>
      <c r="F2" s="9" t="s">
        <v>236</v>
      </c>
      <c r="G2" s="12" t="s">
        <v>237</v>
      </c>
      <c r="H2" s="9" t="s">
        <v>238</v>
      </c>
      <c r="I2" s="9" t="s">
        <v>239</v>
      </c>
      <c r="J2" s="9" t="s">
        <v>240</v>
      </c>
      <c r="K2" s="9" t="s">
        <v>241</v>
      </c>
      <c r="L2" s="9" t="s">
        <v>831</v>
      </c>
      <c r="M2" s="12" t="s">
        <v>832</v>
      </c>
      <c r="N2" s="9"/>
      <c r="O2" s="9"/>
    </row>
    <row r="3" spans="1:15" ht="63.75" x14ac:dyDescent="0.25">
      <c r="A3" s="11" t="s">
        <v>243</v>
      </c>
      <c r="B3" s="12" t="s">
        <v>21</v>
      </c>
      <c r="C3" s="9" t="s">
        <v>244</v>
      </c>
      <c r="D3" s="9" t="s">
        <v>234</v>
      </c>
      <c r="E3" s="9" t="s">
        <v>235</v>
      </c>
      <c r="F3" s="9" t="s">
        <v>245</v>
      </c>
      <c r="G3" s="12" t="s">
        <v>237</v>
      </c>
      <c r="H3" s="9" t="s">
        <v>246</v>
      </c>
      <c r="I3" s="9" t="s">
        <v>247</v>
      </c>
      <c r="J3" s="9" t="s">
        <v>248</v>
      </c>
      <c r="K3" s="9" t="s">
        <v>249</v>
      </c>
      <c r="L3" s="9"/>
      <c r="M3" s="12" t="s">
        <v>242</v>
      </c>
      <c r="N3" s="9"/>
      <c r="O3" s="9" t="s">
        <v>250</v>
      </c>
    </row>
    <row r="4" spans="1:15" ht="63.75" x14ac:dyDescent="0.25">
      <c r="A4" s="11" t="s">
        <v>251</v>
      </c>
      <c r="B4" s="12" t="s">
        <v>21</v>
      </c>
      <c r="C4" s="9" t="s">
        <v>252</v>
      </c>
      <c r="D4" s="9" t="s">
        <v>253</v>
      </c>
      <c r="E4" s="9" t="s">
        <v>254</v>
      </c>
      <c r="F4" s="9" t="s">
        <v>255</v>
      </c>
      <c r="G4" s="12" t="s">
        <v>237</v>
      </c>
      <c r="H4" s="9" t="s">
        <v>256</v>
      </c>
      <c r="I4" s="9" t="s">
        <v>257</v>
      </c>
      <c r="J4" s="9" t="s">
        <v>258</v>
      </c>
      <c r="K4" s="9" t="s">
        <v>259</v>
      </c>
      <c r="L4" s="9"/>
      <c r="M4" s="12" t="s">
        <v>242</v>
      </c>
      <c r="N4" s="9"/>
      <c r="O4" s="9"/>
    </row>
    <row r="5" spans="1:15" ht="38.25" x14ac:dyDescent="0.25">
      <c r="A5" s="11" t="s">
        <v>267</v>
      </c>
      <c r="B5" s="12" t="s">
        <v>21</v>
      </c>
      <c r="C5" s="9" t="s">
        <v>268</v>
      </c>
      <c r="D5" s="9" t="s">
        <v>253</v>
      </c>
      <c r="E5" s="9" t="s">
        <v>269</v>
      </c>
      <c r="F5" s="9" t="s">
        <v>270</v>
      </c>
      <c r="G5" s="12" t="s">
        <v>237</v>
      </c>
      <c r="H5" s="9" t="s">
        <v>246</v>
      </c>
      <c r="I5" s="9" t="s">
        <v>271</v>
      </c>
      <c r="J5" s="9" t="s">
        <v>272</v>
      </c>
      <c r="K5" s="9" t="s">
        <v>273</v>
      </c>
      <c r="L5" s="9"/>
      <c r="M5" s="12" t="s">
        <v>242</v>
      </c>
      <c r="N5" s="9"/>
      <c r="O5" s="9" t="s">
        <v>274</v>
      </c>
    </row>
    <row r="6" spans="1:15" ht="63.75" x14ac:dyDescent="0.25">
      <c r="A6" s="11" t="s">
        <v>275</v>
      </c>
      <c r="B6" s="12" t="s">
        <v>21</v>
      </c>
      <c r="C6" s="9" t="s">
        <v>276</v>
      </c>
      <c r="D6" s="9" t="s">
        <v>277</v>
      </c>
      <c r="E6" s="9" t="s">
        <v>278</v>
      </c>
      <c r="F6" s="9" t="s">
        <v>279</v>
      </c>
      <c r="G6" s="12" t="s">
        <v>237</v>
      </c>
      <c r="H6" s="9" t="s">
        <v>256</v>
      </c>
      <c r="I6" s="9" t="s">
        <v>280</v>
      </c>
      <c r="J6" s="9" t="s">
        <v>281</v>
      </c>
      <c r="K6" s="9" t="s">
        <v>282</v>
      </c>
      <c r="L6" s="9"/>
      <c r="M6" s="12" t="s">
        <v>242</v>
      </c>
      <c r="N6" s="9"/>
      <c r="O6" s="9" t="s">
        <v>283</v>
      </c>
    </row>
    <row r="7" spans="1:15" ht="51" x14ac:dyDescent="0.25">
      <c r="A7" s="11" t="s">
        <v>284</v>
      </c>
      <c r="B7" s="12" t="s">
        <v>21</v>
      </c>
      <c r="C7" s="9" t="s">
        <v>285</v>
      </c>
      <c r="D7" s="9" t="s">
        <v>277</v>
      </c>
      <c r="E7" s="9" t="s">
        <v>286</v>
      </c>
      <c r="F7" s="9" t="s">
        <v>287</v>
      </c>
      <c r="G7" s="12" t="s">
        <v>237</v>
      </c>
      <c r="H7" s="9" t="s">
        <v>256</v>
      </c>
      <c r="I7" s="9" t="s">
        <v>288</v>
      </c>
      <c r="J7" s="9" t="s">
        <v>289</v>
      </c>
      <c r="K7" s="9" t="s">
        <v>290</v>
      </c>
      <c r="L7" s="9"/>
      <c r="M7" s="12" t="s">
        <v>242</v>
      </c>
      <c r="N7" s="9"/>
      <c r="O7" s="9" t="s">
        <v>291</v>
      </c>
    </row>
    <row r="8" spans="1:15" ht="63.75" x14ac:dyDescent="0.25">
      <c r="A8" s="11" t="s">
        <v>302</v>
      </c>
      <c r="B8" s="12" t="s">
        <v>21</v>
      </c>
      <c r="C8" s="9" t="s">
        <v>303</v>
      </c>
      <c r="D8" s="9" t="s">
        <v>71</v>
      </c>
      <c r="E8" s="9" t="s">
        <v>304</v>
      </c>
      <c r="F8" s="9" t="s">
        <v>305</v>
      </c>
      <c r="G8" s="12" t="s">
        <v>237</v>
      </c>
      <c r="H8" s="9" t="s">
        <v>306</v>
      </c>
      <c r="I8" s="9" t="s">
        <v>307</v>
      </c>
      <c r="J8" s="9" t="s">
        <v>308</v>
      </c>
      <c r="K8" s="9" t="s">
        <v>309</v>
      </c>
      <c r="L8" s="9"/>
      <c r="M8" s="12" t="s">
        <v>242</v>
      </c>
      <c r="N8" s="9"/>
      <c r="O8" s="9" t="s">
        <v>310</v>
      </c>
    </row>
    <row r="9" spans="1:15" ht="38.25" x14ac:dyDescent="0.25">
      <c r="A9" s="11" t="s">
        <v>329</v>
      </c>
      <c r="B9" s="12" t="s">
        <v>26</v>
      </c>
      <c r="C9" s="9" t="s">
        <v>330</v>
      </c>
      <c r="D9" s="9" t="s">
        <v>234</v>
      </c>
      <c r="E9" s="9" t="s">
        <v>235</v>
      </c>
      <c r="F9" s="9" t="s">
        <v>331</v>
      </c>
      <c r="G9" s="12" t="s">
        <v>237</v>
      </c>
      <c r="H9" s="9" t="s">
        <v>332</v>
      </c>
      <c r="I9" s="9" t="s">
        <v>333</v>
      </c>
      <c r="J9" s="9" t="s">
        <v>334</v>
      </c>
      <c r="K9" s="9" t="s">
        <v>335</v>
      </c>
      <c r="L9" s="9"/>
      <c r="M9" s="12" t="s">
        <v>242</v>
      </c>
      <c r="N9" s="9"/>
      <c r="O9" s="9"/>
    </row>
    <row r="10" spans="1:15" ht="51" x14ac:dyDescent="0.25">
      <c r="A10" s="11" t="s">
        <v>336</v>
      </c>
      <c r="B10" s="12" t="s">
        <v>26</v>
      </c>
      <c r="C10" s="9" t="s">
        <v>337</v>
      </c>
      <c r="D10" s="9" t="s">
        <v>277</v>
      </c>
      <c r="E10" s="9" t="s">
        <v>338</v>
      </c>
      <c r="F10" s="9" t="s">
        <v>339</v>
      </c>
      <c r="G10" s="12" t="s">
        <v>237</v>
      </c>
      <c r="H10" s="9" t="s">
        <v>332</v>
      </c>
      <c r="I10" s="9" t="s">
        <v>340</v>
      </c>
      <c r="J10" s="9" t="s">
        <v>341</v>
      </c>
      <c r="K10" s="9" t="s">
        <v>342</v>
      </c>
      <c r="L10" s="9"/>
      <c r="M10" s="12" t="s">
        <v>242</v>
      </c>
      <c r="N10" s="9"/>
      <c r="O10" s="9"/>
    </row>
    <row r="11" spans="1:15" ht="38.25" x14ac:dyDescent="0.25">
      <c r="A11" s="11" t="s">
        <v>343</v>
      </c>
      <c r="B11" s="12" t="s">
        <v>26</v>
      </c>
      <c r="C11" s="9" t="s">
        <v>344</v>
      </c>
      <c r="D11" s="9" t="s">
        <v>277</v>
      </c>
      <c r="E11" s="9" t="s">
        <v>345</v>
      </c>
      <c r="F11" s="9" t="s">
        <v>339</v>
      </c>
      <c r="G11" s="12" t="s">
        <v>237</v>
      </c>
      <c r="H11" s="9" t="s">
        <v>332</v>
      </c>
      <c r="I11" s="9" t="s">
        <v>346</v>
      </c>
      <c r="J11" s="9" t="s">
        <v>347</v>
      </c>
      <c r="K11" s="9" t="s">
        <v>348</v>
      </c>
      <c r="L11" s="9"/>
      <c r="M11" s="12" t="s">
        <v>242</v>
      </c>
      <c r="N11" s="9"/>
      <c r="O11" s="9"/>
    </row>
    <row r="12" spans="1:15" ht="38.25" x14ac:dyDescent="0.25">
      <c r="A12" s="11" t="s">
        <v>349</v>
      </c>
      <c r="B12" s="12" t="s">
        <v>26</v>
      </c>
      <c r="C12" s="9" t="s">
        <v>350</v>
      </c>
      <c r="D12" s="9" t="s">
        <v>253</v>
      </c>
      <c r="E12" s="9" t="s">
        <v>351</v>
      </c>
      <c r="F12" s="9" t="s">
        <v>352</v>
      </c>
      <c r="G12" s="12" t="s">
        <v>237</v>
      </c>
      <c r="H12" s="9" t="s">
        <v>332</v>
      </c>
      <c r="I12" s="9" t="s">
        <v>353</v>
      </c>
      <c r="J12" s="9" t="s">
        <v>354</v>
      </c>
      <c r="K12" s="9" t="s">
        <v>355</v>
      </c>
      <c r="L12" s="9"/>
      <c r="M12" s="12" t="s">
        <v>242</v>
      </c>
      <c r="N12" s="9"/>
      <c r="O12" s="9"/>
    </row>
    <row r="13" spans="1:15" ht="89.25" x14ac:dyDescent="0.25">
      <c r="A13" s="11" t="s">
        <v>356</v>
      </c>
      <c r="B13" s="12" t="s">
        <v>26</v>
      </c>
      <c r="C13" s="9" t="s">
        <v>357</v>
      </c>
      <c r="D13" s="9" t="s">
        <v>253</v>
      </c>
      <c r="E13" s="9" t="s">
        <v>358</v>
      </c>
      <c r="F13" s="9" t="s">
        <v>352</v>
      </c>
      <c r="G13" s="12" t="s">
        <v>237</v>
      </c>
      <c r="H13" s="9" t="s">
        <v>332</v>
      </c>
      <c r="I13" s="9" t="s">
        <v>359</v>
      </c>
      <c r="J13" s="9" t="s">
        <v>360</v>
      </c>
      <c r="K13" s="9" t="s">
        <v>361</v>
      </c>
      <c r="L13" s="9"/>
      <c r="M13" s="12" t="s">
        <v>242</v>
      </c>
      <c r="N13" s="9"/>
      <c r="O13" s="9"/>
    </row>
    <row r="14" spans="1:15" ht="38.25" x14ac:dyDescent="0.25">
      <c r="A14" s="11" t="s">
        <v>362</v>
      </c>
      <c r="B14" s="12" t="s">
        <v>26</v>
      </c>
      <c r="C14" s="9" t="s">
        <v>363</v>
      </c>
      <c r="D14" s="9" t="s">
        <v>277</v>
      </c>
      <c r="E14" s="9" t="s">
        <v>364</v>
      </c>
      <c r="F14" s="9" t="s">
        <v>365</v>
      </c>
      <c r="G14" s="12" t="s">
        <v>237</v>
      </c>
      <c r="H14" s="9" t="s">
        <v>332</v>
      </c>
      <c r="I14" s="9" t="s">
        <v>366</v>
      </c>
      <c r="J14" s="9" t="s">
        <v>367</v>
      </c>
      <c r="K14" s="9" t="s">
        <v>368</v>
      </c>
      <c r="L14" s="9"/>
      <c r="M14" s="12" t="s">
        <v>242</v>
      </c>
      <c r="N14" s="9"/>
      <c r="O14" s="9"/>
    </row>
    <row r="15" spans="1:15" ht="38.25" x14ac:dyDescent="0.25">
      <c r="A15" s="11" t="s">
        <v>369</v>
      </c>
      <c r="B15" s="12" t="s">
        <v>26</v>
      </c>
      <c r="C15" s="9" t="s">
        <v>370</v>
      </c>
      <c r="D15" s="9" t="s">
        <v>71</v>
      </c>
      <c r="E15" s="9" t="s">
        <v>371</v>
      </c>
      <c r="F15" s="9" t="s">
        <v>372</v>
      </c>
      <c r="G15" s="12" t="s">
        <v>237</v>
      </c>
      <c r="H15" s="9" t="s">
        <v>373</v>
      </c>
      <c r="I15" s="9" t="s">
        <v>374</v>
      </c>
      <c r="J15" s="9" t="s">
        <v>375</v>
      </c>
      <c r="K15" s="9" t="s">
        <v>376</v>
      </c>
      <c r="L15" s="9"/>
      <c r="M15" s="12" t="s">
        <v>242</v>
      </c>
      <c r="N15" s="9"/>
      <c r="O15" s="9" t="s">
        <v>377</v>
      </c>
    </row>
    <row r="16" spans="1:15" ht="51" x14ac:dyDescent="0.25">
      <c r="A16" s="11" t="s">
        <v>378</v>
      </c>
      <c r="B16" s="12" t="s">
        <v>26</v>
      </c>
      <c r="C16" s="9" t="s">
        <v>379</v>
      </c>
      <c r="D16" s="9" t="s">
        <v>71</v>
      </c>
      <c r="E16" s="9" t="s">
        <v>380</v>
      </c>
      <c r="F16" s="9" t="s">
        <v>372</v>
      </c>
      <c r="G16" s="12" t="s">
        <v>237</v>
      </c>
      <c r="H16" s="9" t="s">
        <v>381</v>
      </c>
      <c r="I16" s="9" t="s">
        <v>382</v>
      </c>
      <c r="J16" s="9" t="s">
        <v>383</v>
      </c>
      <c r="K16" s="9" t="s">
        <v>384</v>
      </c>
      <c r="L16" s="9"/>
      <c r="M16" s="12" t="s">
        <v>242</v>
      </c>
      <c r="N16" s="9"/>
      <c r="O16" s="9"/>
    </row>
    <row r="17" spans="1:15" ht="51" x14ac:dyDescent="0.25">
      <c r="A17" s="11" t="s">
        <v>394</v>
      </c>
      <c r="B17" s="12" t="s">
        <v>26</v>
      </c>
      <c r="C17" s="9" t="s">
        <v>395</v>
      </c>
      <c r="D17" s="9" t="s">
        <v>71</v>
      </c>
      <c r="E17" s="9" t="s">
        <v>396</v>
      </c>
      <c r="F17" s="9" t="s">
        <v>397</v>
      </c>
      <c r="G17" s="12" t="s">
        <v>237</v>
      </c>
      <c r="H17" s="9" t="s">
        <v>398</v>
      </c>
      <c r="I17" s="9" t="s">
        <v>399</v>
      </c>
      <c r="J17" s="9" t="s">
        <v>400</v>
      </c>
      <c r="K17" s="9" t="s">
        <v>401</v>
      </c>
      <c r="L17" s="9"/>
      <c r="M17" s="12" t="s">
        <v>242</v>
      </c>
      <c r="N17" s="9"/>
      <c r="O17" s="9" t="s">
        <v>402</v>
      </c>
    </row>
    <row r="18" spans="1:15" ht="51" x14ac:dyDescent="0.25">
      <c r="A18" s="11" t="s">
        <v>410</v>
      </c>
      <c r="B18" s="12" t="s">
        <v>30</v>
      </c>
      <c r="C18" s="9" t="s">
        <v>411</v>
      </c>
      <c r="D18" s="9" t="s">
        <v>234</v>
      </c>
      <c r="E18" s="9" t="s">
        <v>235</v>
      </c>
      <c r="F18" s="9" t="s">
        <v>412</v>
      </c>
      <c r="G18" s="12" t="s">
        <v>237</v>
      </c>
      <c r="H18" s="9" t="s">
        <v>413</v>
      </c>
      <c r="I18" s="9" t="s">
        <v>414</v>
      </c>
      <c r="J18" s="9" t="s">
        <v>415</v>
      </c>
      <c r="K18" s="9" t="s">
        <v>416</v>
      </c>
      <c r="L18" s="9"/>
      <c r="M18" s="12" t="s">
        <v>242</v>
      </c>
      <c r="N18" s="9"/>
      <c r="O18" s="9"/>
    </row>
    <row r="19" spans="1:15" ht="51" x14ac:dyDescent="0.25">
      <c r="A19" s="11" t="s">
        <v>417</v>
      </c>
      <c r="B19" s="12" t="s">
        <v>30</v>
      </c>
      <c r="C19" s="9" t="s">
        <v>418</v>
      </c>
      <c r="D19" s="9" t="s">
        <v>234</v>
      </c>
      <c r="E19" s="9" t="s">
        <v>235</v>
      </c>
      <c r="F19" s="9" t="s">
        <v>419</v>
      </c>
      <c r="G19" s="12" t="s">
        <v>237</v>
      </c>
      <c r="H19" s="9" t="s">
        <v>420</v>
      </c>
      <c r="I19" s="9" t="s">
        <v>421</v>
      </c>
      <c r="J19" s="9" t="s">
        <v>422</v>
      </c>
      <c r="K19" s="9" t="s">
        <v>423</v>
      </c>
      <c r="L19" s="9"/>
      <c r="M19" s="12" t="s">
        <v>242</v>
      </c>
      <c r="N19" s="9"/>
      <c r="O19" s="9"/>
    </row>
    <row r="20" spans="1:15" ht="38.25" x14ac:dyDescent="0.25">
      <c r="A20" s="11" t="s">
        <v>424</v>
      </c>
      <c r="B20" s="12" t="s">
        <v>30</v>
      </c>
      <c r="C20" s="9" t="s">
        <v>425</v>
      </c>
      <c r="D20" s="9" t="s">
        <v>234</v>
      </c>
      <c r="E20" s="9" t="s">
        <v>235</v>
      </c>
      <c r="F20" s="9" t="s">
        <v>426</v>
      </c>
      <c r="G20" s="12" t="s">
        <v>237</v>
      </c>
      <c r="H20" s="9" t="s">
        <v>420</v>
      </c>
      <c r="I20" s="9" t="s">
        <v>427</v>
      </c>
      <c r="J20" s="9" t="s">
        <v>428</v>
      </c>
      <c r="K20" s="9" t="s">
        <v>429</v>
      </c>
      <c r="L20" s="9"/>
      <c r="M20" s="12" t="s">
        <v>242</v>
      </c>
      <c r="N20" s="9"/>
      <c r="O20" s="9"/>
    </row>
    <row r="21" spans="1:15" ht="51" x14ac:dyDescent="0.25">
      <c r="A21" s="11" t="s">
        <v>430</v>
      </c>
      <c r="B21" s="12" t="s">
        <v>30</v>
      </c>
      <c r="C21" s="9" t="s">
        <v>431</v>
      </c>
      <c r="D21" s="9" t="s">
        <v>277</v>
      </c>
      <c r="E21" s="9" t="s">
        <v>338</v>
      </c>
      <c r="F21" s="9" t="s">
        <v>432</v>
      </c>
      <c r="G21" s="12" t="s">
        <v>237</v>
      </c>
      <c r="H21" s="9" t="s">
        <v>420</v>
      </c>
      <c r="I21" s="9" t="s">
        <v>433</v>
      </c>
      <c r="J21" s="9" t="s">
        <v>434</v>
      </c>
      <c r="K21" s="9" t="s">
        <v>435</v>
      </c>
      <c r="L21" s="9"/>
      <c r="M21" s="12" t="s">
        <v>242</v>
      </c>
      <c r="N21" s="9"/>
      <c r="O21" s="9"/>
    </row>
    <row r="22" spans="1:15" ht="76.5" x14ac:dyDescent="0.25">
      <c r="A22" s="11" t="s">
        <v>436</v>
      </c>
      <c r="B22" s="12" t="s">
        <v>30</v>
      </c>
      <c r="C22" s="9" t="s">
        <v>437</v>
      </c>
      <c r="D22" s="9" t="s">
        <v>277</v>
      </c>
      <c r="E22" s="9" t="s">
        <v>345</v>
      </c>
      <c r="F22" s="9" t="s">
        <v>432</v>
      </c>
      <c r="G22" s="12" t="s">
        <v>237</v>
      </c>
      <c r="H22" s="9" t="s">
        <v>420</v>
      </c>
      <c r="I22" s="9" t="s">
        <v>438</v>
      </c>
      <c r="J22" s="9" t="s">
        <v>439</v>
      </c>
      <c r="K22" s="9" t="s">
        <v>440</v>
      </c>
      <c r="L22" s="9"/>
      <c r="M22" s="12" t="s">
        <v>242</v>
      </c>
      <c r="N22" s="9"/>
      <c r="O22" s="9"/>
    </row>
    <row r="23" spans="1:15" ht="38.25" x14ac:dyDescent="0.25">
      <c r="A23" s="11" t="s">
        <v>441</v>
      </c>
      <c r="B23" s="12" t="s">
        <v>30</v>
      </c>
      <c r="C23" s="9" t="s">
        <v>442</v>
      </c>
      <c r="D23" s="9" t="s">
        <v>253</v>
      </c>
      <c r="E23" s="9" t="s">
        <v>351</v>
      </c>
      <c r="F23" s="9" t="s">
        <v>443</v>
      </c>
      <c r="G23" s="12" t="s">
        <v>237</v>
      </c>
      <c r="H23" s="9" t="s">
        <v>420</v>
      </c>
      <c r="I23" s="9" t="s">
        <v>444</v>
      </c>
      <c r="J23" s="9" t="s">
        <v>445</v>
      </c>
      <c r="K23" s="9" t="s">
        <v>446</v>
      </c>
      <c r="L23" s="9"/>
      <c r="M23" s="12" t="s">
        <v>242</v>
      </c>
      <c r="N23" s="9"/>
      <c r="O23" s="9"/>
    </row>
    <row r="24" spans="1:15" ht="102" x14ac:dyDescent="0.25">
      <c r="A24" s="11" t="s">
        <v>447</v>
      </c>
      <c r="B24" s="12" t="s">
        <v>30</v>
      </c>
      <c r="C24" s="9" t="s">
        <v>448</v>
      </c>
      <c r="D24" s="9" t="s">
        <v>277</v>
      </c>
      <c r="E24" s="9" t="s">
        <v>364</v>
      </c>
      <c r="F24" s="9" t="s">
        <v>443</v>
      </c>
      <c r="G24" s="12" t="s">
        <v>237</v>
      </c>
      <c r="H24" s="9" t="s">
        <v>420</v>
      </c>
      <c r="I24" s="9" t="s">
        <v>449</v>
      </c>
      <c r="J24" s="9" t="s">
        <v>450</v>
      </c>
      <c r="K24" s="9" t="s">
        <v>451</v>
      </c>
      <c r="L24" s="9"/>
      <c r="M24" s="12" t="s">
        <v>242</v>
      </c>
      <c r="N24" s="9"/>
      <c r="O24" s="9"/>
    </row>
    <row r="25" spans="1:15" ht="89.25" x14ac:dyDescent="0.25">
      <c r="A25" s="11" t="s">
        <v>452</v>
      </c>
      <c r="B25" s="12" t="s">
        <v>30</v>
      </c>
      <c r="C25" s="9" t="s">
        <v>453</v>
      </c>
      <c r="D25" s="9" t="s">
        <v>71</v>
      </c>
      <c r="E25" s="9" t="s">
        <v>454</v>
      </c>
      <c r="F25" s="9" t="s">
        <v>455</v>
      </c>
      <c r="G25" s="12" t="s">
        <v>237</v>
      </c>
      <c r="H25" s="9" t="s">
        <v>456</v>
      </c>
      <c r="I25" s="9" t="s">
        <v>457</v>
      </c>
      <c r="J25" s="9" t="s">
        <v>458</v>
      </c>
      <c r="K25" s="9" t="s">
        <v>459</v>
      </c>
      <c r="L25" s="9"/>
      <c r="M25" s="12" t="s">
        <v>242</v>
      </c>
      <c r="N25" s="9"/>
      <c r="O25" s="9" t="s">
        <v>460</v>
      </c>
    </row>
    <row r="26" spans="1:15" ht="89.25" x14ac:dyDescent="0.25">
      <c r="A26" s="11" t="s">
        <v>494</v>
      </c>
      <c r="B26" s="12" t="s">
        <v>32</v>
      </c>
      <c r="C26" s="9" t="s">
        <v>495</v>
      </c>
      <c r="D26" s="9" t="s">
        <v>234</v>
      </c>
      <c r="E26" s="9" t="s">
        <v>235</v>
      </c>
      <c r="F26" s="9" t="s">
        <v>496</v>
      </c>
      <c r="G26" s="12" t="s">
        <v>237</v>
      </c>
      <c r="H26" s="9" t="s">
        <v>497</v>
      </c>
      <c r="I26" s="9" t="s">
        <v>498</v>
      </c>
      <c r="J26" s="9" t="s">
        <v>499</v>
      </c>
      <c r="K26" s="9" t="s">
        <v>500</v>
      </c>
      <c r="L26" s="9"/>
      <c r="M26" s="12" t="s">
        <v>242</v>
      </c>
      <c r="N26" s="9"/>
      <c r="O26" s="9" t="s">
        <v>501</v>
      </c>
    </row>
    <row r="27" spans="1:15" ht="89.25" x14ac:dyDescent="0.25">
      <c r="A27" s="11" t="s">
        <v>502</v>
      </c>
      <c r="B27" s="12" t="s">
        <v>32</v>
      </c>
      <c r="C27" s="9" t="s">
        <v>503</v>
      </c>
      <c r="D27" s="9" t="s">
        <v>277</v>
      </c>
      <c r="E27" s="9" t="s">
        <v>504</v>
      </c>
      <c r="F27" s="9" t="s">
        <v>505</v>
      </c>
      <c r="G27" s="12" t="s">
        <v>237</v>
      </c>
      <c r="H27" s="9" t="s">
        <v>497</v>
      </c>
      <c r="I27" s="9" t="s">
        <v>506</v>
      </c>
      <c r="J27" s="9" t="s">
        <v>507</v>
      </c>
      <c r="K27" s="9" t="s">
        <v>508</v>
      </c>
      <c r="L27" s="9"/>
      <c r="M27" s="12" t="s">
        <v>242</v>
      </c>
      <c r="N27" s="9"/>
      <c r="O27" s="9" t="s">
        <v>501</v>
      </c>
    </row>
    <row r="28" spans="1:15" ht="89.25" x14ac:dyDescent="0.25">
      <c r="A28" s="11" t="s">
        <v>509</v>
      </c>
      <c r="B28" s="12" t="s">
        <v>32</v>
      </c>
      <c r="C28" s="9" t="s">
        <v>510</v>
      </c>
      <c r="D28" s="9" t="s">
        <v>277</v>
      </c>
      <c r="E28" s="9" t="s">
        <v>511</v>
      </c>
      <c r="F28" s="9" t="s">
        <v>512</v>
      </c>
      <c r="G28" s="12" t="s">
        <v>237</v>
      </c>
      <c r="H28" s="9" t="s">
        <v>497</v>
      </c>
      <c r="I28" s="9" t="s">
        <v>513</v>
      </c>
      <c r="J28" s="9" t="s">
        <v>514</v>
      </c>
      <c r="K28" s="9" t="s">
        <v>515</v>
      </c>
      <c r="L28" s="9"/>
      <c r="M28" s="12" t="s">
        <v>242</v>
      </c>
      <c r="N28" s="9"/>
      <c r="O28" s="9"/>
    </row>
    <row r="29" spans="1:15" ht="89.25" x14ac:dyDescent="0.25">
      <c r="A29" s="11" t="s">
        <v>531</v>
      </c>
      <c r="B29" s="12" t="s">
        <v>32</v>
      </c>
      <c r="C29" s="9" t="s">
        <v>532</v>
      </c>
      <c r="D29" s="9" t="s">
        <v>234</v>
      </c>
      <c r="E29" s="9" t="s">
        <v>533</v>
      </c>
      <c r="F29" s="9" t="s">
        <v>534</v>
      </c>
      <c r="G29" s="12" t="s">
        <v>237</v>
      </c>
      <c r="H29" s="9" t="s">
        <v>497</v>
      </c>
      <c r="I29" s="9" t="s">
        <v>535</v>
      </c>
      <c r="J29" s="9" t="s">
        <v>536</v>
      </c>
      <c r="K29" s="9" t="s">
        <v>537</v>
      </c>
      <c r="L29" s="9"/>
      <c r="M29" s="12" t="s">
        <v>242</v>
      </c>
      <c r="N29" s="9"/>
      <c r="O29" s="9" t="s">
        <v>538</v>
      </c>
    </row>
    <row r="30" spans="1:15" ht="89.25" x14ac:dyDescent="0.25">
      <c r="A30" s="11" t="s">
        <v>539</v>
      </c>
      <c r="B30" s="12" t="s">
        <v>32</v>
      </c>
      <c r="C30" s="9" t="s">
        <v>540</v>
      </c>
      <c r="D30" s="9" t="s">
        <v>71</v>
      </c>
      <c r="E30" s="9" t="s">
        <v>541</v>
      </c>
      <c r="F30" s="9" t="s">
        <v>542</v>
      </c>
      <c r="G30" s="12" t="s">
        <v>237</v>
      </c>
      <c r="H30" s="9" t="s">
        <v>497</v>
      </c>
      <c r="I30" s="9" t="s">
        <v>543</v>
      </c>
      <c r="J30" s="9" t="s">
        <v>544</v>
      </c>
      <c r="K30" s="9" t="s">
        <v>545</v>
      </c>
      <c r="L30" s="9"/>
      <c r="M30" s="12" t="s">
        <v>242</v>
      </c>
      <c r="N30" s="9"/>
      <c r="O30" s="9" t="s">
        <v>501</v>
      </c>
    </row>
    <row r="31" spans="1:15" ht="102" x14ac:dyDescent="0.25">
      <c r="A31" s="11" t="s">
        <v>546</v>
      </c>
      <c r="B31" s="12" t="s">
        <v>32</v>
      </c>
      <c r="C31" s="9" t="s">
        <v>547</v>
      </c>
      <c r="D31" s="9" t="s">
        <v>71</v>
      </c>
      <c r="E31" s="9" t="s">
        <v>481</v>
      </c>
      <c r="F31" s="9" t="s">
        <v>548</v>
      </c>
      <c r="G31" s="12" t="s">
        <v>237</v>
      </c>
      <c r="H31" s="9" t="s">
        <v>549</v>
      </c>
      <c r="I31" s="9" t="s">
        <v>550</v>
      </c>
      <c r="J31" s="9" t="s">
        <v>551</v>
      </c>
      <c r="K31" s="9" t="s">
        <v>552</v>
      </c>
      <c r="L31" s="9"/>
      <c r="M31" s="12" t="s">
        <v>242</v>
      </c>
      <c r="N31" s="9"/>
      <c r="O31" s="9"/>
    </row>
    <row r="32" spans="1:15" ht="102" x14ac:dyDescent="0.25">
      <c r="A32" s="11" t="s">
        <v>199</v>
      </c>
      <c r="B32" s="12" t="s">
        <v>32</v>
      </c>
      <c r="C32" s="9" t="s">
        <v>553</v>
      </c>
      <c r="D32" s="9" t="s">
        <v>71</v>
      </c>
      <c r="E32" s="9" t="s">
        <v>554</v>
      </c>
      <c r="F32" s="9" t="s">
        <v>555</v>
      </c>
      <c r="G32" s="12" t="s">
        <v>237</v>
      </c>
      <c r="H32" s="9" t="s">
        <v>556</v>
      </c>
      <c r="I32" s="9" t="s">
        <v>557</v>
      </c>
      <c r="J32" s="9" t="s">
        <v>558</v>
      </c>
      <c r="K32" s="9" t="s">
        <v>559</v>
      </c>
      <c r="L32" s="9"/>
      <c r="M32" s="12" t="s">
        <v>242</v>
      </c>
      <c r="N32" s="9"/>
      <c r="O32" s="9" t="s">
        <v>560</v>
      </c>
    </row>
    <row r="33" spans="1:15" ht="76.5" x14ac:dyDescent="0.25">
      <c r="A33" s="11" t="s">
        <v>561</v>
      </c>
      <c r="B33" s="12" t="s">
        <v>32</v>
      </c>
      <c r="C33" s="9" t="s">
        <v>562</v>
      </c>
      <c r="D33" s="9" t="s">
        <v>71</v>
      </c>
      <c r="E33" s="9" t="s">
        <v>563</v>
      </c>
      <c r="F33" s="9" t="s">
        <v>564</v>
      </c>
      <c r="G33" s="12" t="s">
        <v>237</v>
      </c>
      <c r="H33" s="9" t="s">
        <v>565</v>
      </c>
      <c r="I33" s="9" t="s">
        <v>566</v>
      </c>
      <c r="J33" s="9" t="s">
        <v>567</v>
      </c>
      <c r="K33" s="9" t="s">
        <v>568</v>
      </c>
      <c r="L33" s="9"/>
      <c r="M33" s="12" t="s">
        <v>242</v>
      </c>
      <c r="N33" s="9"/>
      <c r="O33" s="9" t="s">
        <v>569</v>
      </c>
    </row>
    <row r="34" spans="1:15" ht="102" x14ac:dyDescent="0.25">
      <c r="A34" s="11" t="s">
        <v>579</v>
      </c>
      <c r="B34" s="12" t="s">
        <v>35</v>
      </c>
      <c r="C34" s="9" t="s">
        <v>580</v>
      </c>
      <c r="D34" s="9" t="s">
        <v>234</v>
      </c>
      <c r="E34" s="9" t="s">
        <v>581</v>
      </c>
      <c r="F34" s="9" t="s">
        <v>582</v>
      </c>
      <c r="G34" s="12" t="s">
        <v>237</v>
      </c>
      <c r="H34" s="9" t="s">
        <v>583</v>
      </c>
      <c r="I34" s="9" t="s">
        <v>584</v>
      </c>
      <c r="J34" s="9" t="s">
        <v>585</v>
      </c>
      <c r="K34" s="9" t="s">
        <v>586</v>
      </c>
      <c r="L34" s="9"/>
      <c r="M34" s="12" t="s">
        <v>242</v>
      </c>
      <c r="N34" s="9"/>
      <c r="O34" s="9"/>
    </row>
    <row r="35" spans="1:15" ht="63.75" x14ac:dyDescent="0.25">
      <c r="A35" s="11" t="s">
        <v>600</v>
      </c>
      <c r="B35" s="12" t="s">
        <v>35</v>
      </c>
      <c r="C35" s="9" t="s">
        <v>601</v>
      </c>
      <c r="D35" s="9" t="s">
        <v>234</v>
      </c>
      <c r="E35" s="9" t="s">
        <v>581</v>
      </c>
      <c r="F35" s="9" t="s">
        <v>602</v>
      </c>
      <c r="G35" s="12" t="s">
        <v>237</v>
      </c>
      <c r="H35" s="9" t="s">
        <v>603</v>
      </c>
      <c r="I35" s="9" t="s">
        <v>591</v>
      </c>
      <c r="J35" s="9" t="s">
        <v>604</v>
      </c>
      <c r="K35" s="9" t="s">
        <v>605</v>
      </c>
      <c r="L35" s="9"/>
      <c r="M35" s="12" t="s">
        <v>242</v>
      </c>
      <c r="N35" s="9"/>
      <c r="O35" s="9"/>
    </row>
    <row r="36" spans="1:15" ht="89.25" x14ac:dyDescent="0.25">
      <c r="A36" s="11" t="s">
        <v>606</v>
      </c>
      <c r="B36" s="12" t="s">
        <v>35</v>
      </c>
      <c r="C36" s="9" t="s">
        <v>607</v>
      </c>
      <c r="D36" s="9" t="s">
        <v>253</v>
      </c>
      <c r="E36" s="9" t="s">
        <v>608</v>
      </c>
      <c r="F36" s="9" t="s">
        <v>609</v>
      </c>
      <c r="G36" s="12" t="s">
        <v>237</v>
      </c>
      <c r="H36" s="9" t="s">
        <v>610</v>
      </c>
      <c r="I36" s="9" t="s">
        <v>611</v>
      </c>
      <c r="J36" s="9" t="s">
        <v>612</v>
      </c>
      <c r="K36" s="9" t="s">
        <v>613</v>
      </c>
      <c r="L36" s="9"/>
      <c r="M36" s="12" t="s">
        <v>242</v>
      </c>
      <c r="N36" s="9"/>
      <c r="O36" s="9"/>
    </row>
    <row r="37" spans="1:15" ht="89.25" x14ac:dyDescent="0.25">
      <c r="A37" s="11" t="s">
        <v>614</v>
      </c>
      <c r="B37" s="12" t="s">
        <v>40</v>
      </c>
      <c r="C37" s="9" t="s">
        <v>615</v>
      </c>
      <c r="D37" s="9" t="s">
        <v>234</v>
      </c>
      <c r="E37" s="9" t="s">
        <v>581</v>
      </c>
      <c r="F37" s="9" t="s">
        <v>616</v>
      </c>
      <c r="G37" s="12" t="s">
        <v>237</v>
      </c>
      <c r="H37" s="9" t="s">
        <v>617</v>
      </c>
      <c r="I37" s="9" t="s">
        <v>591</v>
      </c>
      <c r="J37" s="9" t="s">
        <v>618</v>
      </c>
      <c r="K37" s="9" t="s">
        <v>619</v>
      </c>
      <c r="L37" s="9"/>
      <c r="M37" s="12" t="s">
        <v>242</v>
      </c>
      <c r="N37" s="9"/>
      <c r="O37" s="9"/>
    </row>
    <row r="38" spans="1:15" ht="51" x14ac:dyDescent="0.25">
      <c r="A38" s="11" t="s">
        <v>620</v>
      </c>
      <c r="B38" s="12" t="s">
        <v>40</v>
      </c>
      <c r="C38" s="9" t="s">
        <v>621</v>
      </c>
      <c r="D38" s="9" t="s">
        <v>234</v>
      </c>
      <c r="E38" s="9" t="s">
        <v>581</v>
      </c>
      <c r="F38" s="9" t="s">
        <v>616</v>
      </c>
      <c r="G38" s="12" t="s">
        <v>237</v>
      </c>
      <c r="H38" s="9" t="s">
        <v>622</v>
      </c>
      <c r="I38" s="9" t="s">
        <v>591</v>
      </c>
      <c r="J38" s="9" t="s">
        <v>623</v>
      </c>
      <c r="K38" s="9" t="s">
        <v>624</v>
      </c>
      <c r="L38" s="9"/>
      <c r="M38" s="12" t="s">
        <v>242</v>
      </c>
      <c r="N38" s="9"/>
      <c r="O38" s="9"/>
    </row>
    <row r="39" spans="1:15" ht="51" x14ac:dyDescent="0.25">
      <c r="A39" s="11" t="s">
        <v>625</v>
      </c>
      <c r="B39" s="12" t="s">
        <v>40</v>
      </c>
      <c r="C39" s="9" t="s">
        <v>626</v>
      </c>
      <c r="D39" s="9" t="s">
        <v>253</v>
      </c>
      <c r="E39" s="9" t="s">
        <v>581</v>
      </c>
      <c r="F39" s="9" t="s">
        <v>627</v>
      </c>
      <c r="G39" s="12" t="s">
        <v>237</v>
      </c>
      <c r="H39" s="9" t="s">
        <v>628</v>
      </c>
      <c r="I39" s="9" t="s">
        <v>591</v>
      </c>
      <c r="J39" s="9" t="s">
        <v>629</v>
      </c>
      <c r="K39" s="9" t="s">
        <v>630</v>
      </c>
      <c r="L39" s="9"/>
      <c r="M39" s="12" t="s">
        <v>242</v>
      </c>
      <c r="N39" s="9"/>
      <c r="O39" s="9"/>
    </row>
    <row r="40" spans="1:15" ht="51" x14ac:dyDescent="0.25">
      <c r="A40" s="11" t="s">
        <v>631</v>
      </c>
      <c r="B40" s="12" t="s">
        <v>40</v>
      </c>
      <c r="C40" s="9" t="s">
        <v>632</v>
      </c>
      <c r="D40" s="9" t="s">
        <v>253</v>
      </c>
      <c r="E40" s="9" t="s">
        <v>581</v>
      </c>
      <c r="F40" s="9" t="s">
        <v>627</v>
      </c>
      <c r="G40" s="12" t="s">
        <v>237</v>
      </c>
      <c r="H40" s="9" t="s">
        <v>633</v>
      </c>
      <c r="I40" s="9" t="s">
        <v>591</v>
      </c>
      <c r="J40" s="9" t="s">
        <v>634</v>
      </c>
      <c r="K40" s="9" t="s">
        <v>635</v>
      </c>
      <c r="L40" s="9"/>
      <c r="M40" s="12" t="s">
        <v>242</v>
      </c>
      <c r="N40" s="9"/>
      <c r="O40" s="9" t="s">
        <v>636</v>
      </c>
    </row>
    <row r="41" spans="1:15" ht="51" x14ac:dyDescent="0.25">
      <c r="A41" s="11" t="s">
        <v>648</v>
      </c>
      <c r="B41" s="12" t="s">
        <v>42</v>
      </c>
      <c r="C41" s="9" t="s">
        <v>649</v>
      </c>
      <c r="D41" s="9" t="s">
        <v>234</v>
      </c>
      <c r="E41" s="9" t="s">
        <v>581</v>
      </c>
      <c r="F41" s="9" t="s">
        <v>650</v>
      </c>
      <c r="G41" s="12" t="s">
        <v>237</v>
      </c>
      <c r="H41" s="9" t="s">
        <v>583</v>
      </c>
      <c r="I41" s="9" t="s">
        <v>651</v>
      </c>
      <c r="J41" s="9" t="s">
        <v>652</v>
      </c>
      <c r="K41" s="9" t="s">
        <v>653</v>
      </c>
      <c r="L41" s="9"/>
      <c r="M41" s="12" t="s">
        <v>242</v>
      </c>
      <c r="N41" s="9"/>
      <c r="O41" s="9"/>
    </row>
    <row r="42" spans="1:15" ht="63.75" x14ac:dyDescent="0.25">
      <c r="A42" s="11" t="s">
        <v>654</v>
      </c>
      <c r="B42" s="12" t="s">
        <v>42</v>
      </c>
      <c r="C42" s="9" t="s">
        <v>655</v>
      </c>
      <c r="D42" s="9" t="s">
        <v>277</v>
      </c>
      <c r="E42" s="9" t="s">
        <v>656</v>
      </c>
      <c r="F42" s="9" t="s">
        <v>650</v>
      </c>
      <c r="G42" s="12" t="s">
        <v>237</v>
      </c>
      <c r="H42" s="9" t="s">
        <v>583</v>
      </c>
      <c r="I42" s="9" t="s">
        <v>657</v>
      </c>
      <c r="J42" s="9" t="s">
        <v>658</v>
      </c>
      <c r="K42" s="9" t="s">
        <v>659</v>
      </c>
      <c r="L42" s="9"/>
      <c r="M42" s="12" t="s">
        <v>242</v>
      </c>
      <c r="N42" s="9"/>
      <c r="O42" s="9" t="s">
        <v>660</v>
      </c>
    </row>
    <row r="43" spans="1:15" ht="63.75" x14ac:dyDescent="0.25">
      <c r="A43" s="11" t="s">
        <v>661</v>
      </c>
      <c r="B43" s="12" t="s">
        <v>42</v>
      </c>
      <c r="C43" s="9" t="s">
        <v>662</v>
      </c>
      <c r="D43" s="9" t="s">
        <v>253</v>
      </c>
      <c r="E43" s="9" t="s">
        <v>656</v>
      </c>
      <c r="F43" s="9" t="s">
        <v>663</v>
      </c>
      <c r="G43" s="12" t="s">
        <v>237</v>
      </c>
      <c r="H43" s="9" t="s">
        <v>583</v>
      </c>
      <c r="I43" s="9" t="s">
        <v>664</v>
      </c>
      <c r="J43" s="9" t="s">
        <v>658</v>
      </c>
      <c r="K43" s="9" t="s">
        <v>665</v>
      </c>
      <c r="L43" s="9"/>
      <c r="M43" s="12" t="s">
        <v>242</v>
      </c>
      <c r="N43" s="9"/>
      <c r="O43" s="9"/>
    </row>
    <row r="44" spans="1:15" ht="51" x14ac:dyDescent="0.25">
      <c r="A44" s="11" t="s">
        <v>671</v>
      </c>
      <c r="B44" s="12" t="s">
        <v>42</v>
      </c>
      <c r="C44" s="9" t="s">
        <v>672</v>
      </c>
      <c r="D44" s="9" t="s">
        <v>71</v>
      </c>
      <c r="E44" s="9" t="s">
        <v>581</v>
      </c>
      <c r="F44" s="9" t="s">
        <v>673</v>
      </c>
      <c r="G44" s="12" t="s">
        <v>237</v>
      </c>
      <c r="H44" s="9" t="s">
        <v>674</v>
      </c>
      <c r="I44" s="9" t="s">
        <v>675</v>
      </c>
      <c r="J44" s="9" t="s">
        <v>658</v>
      </c>
      <c r="K44" s="9" t="s">
        <v>676</v>
      </c>
      <c r="L44" s="9"/>
      <c r="M44" s="12" t="s">
        <v>242</v>
      </c>
      <c r="N44" s="9"/>
      <c r="O44" s="9" t="s">
        <v>677</v>
      </c>
    </row>
    <row r="45" spans="1:15" ht="51" x14ac:dyDescent="0.25">
      <c r="A45" s="11" t="s">
        <v>678</v>
      </c>
      <c r="B45" s="12" t="s">
        <v>44</v>
      </c>
      <c r="C45" s="9" t="s">
        <v>679</v>
      </c>
      <c r="D45" s="9" t="s">
        <v>234</v>
      </c>
      <c r="E45" s="9" t="s">
        <v>581</v>
      </c>
      <c r="F45" s="9" t="s">
        <v>680</v>
      </c>
      <c r="G45" s="12" t="s">
        <v>237</v>
      </c>
      <c r="H45" s="9" t="s">
        <v>681</v>
      </c>
      <c r="I45" s="9" t="s">
        <v>682</v>
      </c>
      <c r="J45" s="9" t="s">
        <v>683</v>
      </c>
      <c r="K45" s="9" t="s">
        <v>684</v>
      </c>
      <c r="L45" s="9"/>
      <c r="M45" s="12" t="s">
        <v>242</v>
      </c>
      <c r="N45" s="9"/>
      <c r="O45" s="9"/>
    </row>
    <row r="46" spans="1:15" ht="76.5" x14ac:dyDescent="0.25">
      <c r="A46" s="11" t="s">
        <v>685</v>
      </c>
      <c r="B46" s="12" t="s">
        <v>44</v>
      </c>
      <c r="C46" s="9" t="s">
        <v>686</v>
      </c>
      <c r="D46" s="9" t="s">
        <v>253</v>
      </c>
      <c r="E46" s="9" t="s">
        <v>668</v>
      </c>
      <c r="F46" s="9" t="s">
        <v>687</v>
      </c>
      <c r="G46" s="12" t="s">
        <v>237</v>
      </c>
      <c r="H46" s="9" t="s">
        <v>688</v>
      </c>
      <c r="I46" s="9" t="s">
        <v>689</v>
      </c>
      <c r="J46" s="9" t="s">
        <v>690</v>
      </c>
      <c r="K46" s="9" t="s">
        <v>691</v>
      </c>
      <c r="L46" s="9"/>
      <c r="M46" s="12" t="s">
        <v>242</v>
      </c>
      <c r="N46" s="9"/>
      <c r="O46" s="9"/>
    </row>
    <row r="47" spans="1:15" ht="63.75" x14ac:dyDescent="0.25">
      <c r="A47" s="11" t="s">
        <v>692</v>
      </c>
      <c r="B47" s="12" t="s">
        <v>44</v>
      </c>
      <c r="C47" s="9" t="s">
        <v>693</v>
      </c>
      <c r="D47" s="9" t="s">
        <v>253</v>
      </c>
      <c r="E47" s="9" t="s">
        <v>581</v>
      </c>
      <c r="F47" s="9" t="s">
        <v>687</v>
      </c>
      <c r="G47" s="12" t="s">
        <v>237</v>
      </c>
      <c r="H47" s="9" t="s">
        <v>694</v>
      </c>
      <c r="I47" s="9" t="s">
        <v>695</v>
      </c>
      <c r="J47" s="9" t="s">
        <v>696</v>
      </c>
      <c r="K47" s="9" t="s">
        <v>697</v>
      </c>
      <c r="L47" s="9"/>
      <c r="M47" s="12" t="s">
        <v>242</v>
      </c>
      <c r="N47" s="9"/>
      <c r="O47" s="9"/>
    </row>
    <row r="48" spans="1:15" ht="25.5" x14ac:dyDescent="0.25">
      <c r="A48" s="11" t="s">
        <v>712</v>
      </c>
      <c r="B48" s="12" t="s">
        <v>44</v>
      </c>
      <c r="C48" s="9" t="s">
        <v>713</v>
      </c>
      <c r="D48" s="9" t="s">
        <v>234</v>
      </c>
      <c r="E48" s="9" t="s">
        <v>581</v>
      </c>
      <c r="F48" s="9" t="s">
        <v>680</v>
      </c>
      <c r="G48" s="12" t="s">
        <v>237</v>
      </c>
      <c r="H48" s="9" t="s">
        <v>714</v>
      </c>
      <c r="I48" s="9" t="s">
        <v>591</v>
      </c>
      <c r="J48" s="9" t="s">
        <v>715</v>
      </c>
      <c r="K48" s="9" t="s">
        <v>716</v>
      </c>
      <c r="L48" s="9"/>
      <c r="M48" s="12" t="s">
        <v>242</v>
      </c>
      <c r="N48" s="9"/>
      <c r="O48" s="9"/>
    </row>
    <row r="49" spans="1:15" ht="25.5" x14ac:dyDescent="0.25">
      <c r="A49" s="11" t="s">
        <v>292</v>
      </c>
      <c r="B49" s="12" t="s">
        <v>21</v>
      </c>
      <c r="C49" s="9" t="s">
        <v>293</v>
      </c>
      <c r="D49" s="9" t="s">
        <v>71</v>
      </c>
      <c r="E49" s="9" t="s">
        <v>294</v>
      </c>
      <c r="F49" s="9" t="s">
        <v>295</v>
      </c>
      <c r="G49" s="12" t="s">
        <v>296</v>
      </c>
      <c r="H49" s="9" t="s">
        <v>297</v>
      </c>
      <c r="I49" s="9" t="s">
        <v>298</v>
      </c>
      <c r="J49" s="9" t="s">
        <v>299</v>
      </c>
      <c r="K49" s="9" t="s">
        <v>300</v>
      </c>
      <c r="L49" s="9"/>
      <c r="M49" s="12" t="s">
        <v>242</v>
      </c>
      <c r="N49" s="9"/>
      <c r="O49" s="9" t="s">
        <v>301</v>
      </c>
    </row>
    <row r="50" spans="1:15" ht="25.5" x14ac:dyDescent="0.25">
      <c r="A50" s="11" t="s">
        <v>311</v>
      </c>
      <c r="B50" s="12" t="s">
        <v>21</v>
      </c>
      <c r="C50" s="9" t="s">
        <v>312</v>
      </c>
      <c r="D50" s="9" t="s">
        <v>253</v>
      </c>
      <c r="E50" s="9" t="s">
        <v>313</v>
      </c>
      <c r="F50" s="9" t="s">
        <v>314</v>
      </c>
      <c r="G50" s="12" t="s">
        <v>296</v>
      </c>
      <c r="H50" s="9" t="s">
        <v>315</v>
      </c>
      <c r="I50" s="9" t="s">
        <v>316</v>
      </c>
      <c r="J50" s="9" t="s">
        <v>317</v>
      </c>
      <c r="K50" s="9" t="s">
        <v>318</v>
      </c>
      <c r="L50" s="9"/>
      <c r="M50" s="12" t="s">
        <v>242</v>
      </c>
      <c r="N50" s="9"/>
      <c r="O50" s="9" t="s">
        <v>319</v>
      </c>
    </row>
    <row r="51" spans="1:15" ht="25.5" x14ac:dyDescent="0.25">
      <c r="A51" s="11" t="s">
        <v>403</v>
      </c>
      <c r="B51" s="12" t="s">
        <v>26</v>
      </c>
      <c r="C51" s="9" t="s">
        <v>404</v>
      </c>
      <c r="D51" s="9" t="s">
        <v>253</v>
      </c>
      <c r="E51" s="9" t="s">
        <v>405</v>
      </c>
      <c r="F51" s="9" t="s">
        <v>406</v>
      </c>
      <c r="G51" s="12" t="s">
        <v>296</v>
      </c>
      <c r="H51" s="9" t="s">
        <v>332</v>
      </c>
      <c r="I51" s="9" t="s">
        <v>407</v>
      </c>
      <c r="J51" s="9" t="s">
        <v>408</v>
      </c>
      <c r="K51" s="9" t="s">
        <v>409</v>
      </c>
      <c r="L51" s="9"/>
      <c r="M51" s="12" t="s">
        <v>242</v>
      </c>
      <c r="N51" s="9"/>
      <c r="O51" s="9"/>
    </row>
    <row r="52" spans="1:15" x14ac:dyDescent="0.25">
      <c r="A52" s="11" t="s">
        <v>587</v>
      </c>
      <c r="B52" s="12" t="s">
        <v>35</v>
      </c>
      <c r="C52" s="9" t="s">
        <v>588</v>
      </c>
      <c r="D52" s="9" t="s">
        <v>71</v>
      </c>
      <c r="E52" s="9" t="s">
        <v>581</v>
      </c>
      <c r="F52" s="9" t="s">
        <v>589</v>
      </c>
      <c r="G52" s="12" t="s">
        <v>296</v>
      </c>
      <c r="H52" s="9" t="s">
        <v>590</v>
      </c>
      <c r="I52" s="9" t="s">
        <v>591</v>
      </c>
      <c r="J52" s="9" t="s">
        <v>592</v>
      </c>
      <c r="K52" s="9" t="s">
        <v>593</v>
      </c>
      <c r="L52" s="9"/>
      <c r="M52" s="12" t="s">
        <v>242</v>
      </c>
      <c r="N52" s="9"/>
      <c r="O52" s="9"/>
    </row>
    <row r="53" spans="1:15" ht="25.5" x14ac:dyDescent="0.25">
      <c r="A53" s="11" t="s">
        <v>705</v>
      </c>
      <c r="B53" s="12" t="s">
        <v>44</v>
      </c>
      <c r="C53" s="9" t="s">
        <v>706</v>
      </c>
      <c r="D53" s="9" t="s">
        <v>277</v>
      </c>
      <c r="E53" s="9" t="s">
        <v>656</v>
      </c>
      <c r="F53" s="9" t="s">
        <v>707</v>
      </c>
      <c r="G53" s="12" t="s">
        <v>296</v>
      </c>
      <c r="H53" s="9" t="s">
        <v>708</v>
      </c>
      <c r="I53" s="9" t="s">
        <v>709</v>
      </c>
      <c r="J53" s="9" t="s">
        <v>710</v>
      </c>
      <c r="K53" s="9" t="s">
        <v>711</v>
      </c>
      <c r="L53" s="9"/>
      <c r="M53" s="12" t="s">
        <v>242</v>
      </c>
      <c r="N53" s="9"/>
      <c r="O53" s="9"/>
    </row>
    <row r="54" spans="1:15" ht="25.5" x14ac:dyDescent="0.25">
      <c r="A54" s="11" t="s">
        <v>260</v>
      </c>
      <c r="B54" s="12" t="s">
        <v>21</v>
      </c>
      <c r="C54" s="9" t="s">
        <v>261</v>
      </c>
      <c r="D54" s="9" t="s">
        <v>253</v>
      </c>
      <c r="E54" s="9" t="s">
        <v>262</v>
      </c>
      <c r="F54" s="9" t="s">
        <v>255</v>
      </c>
      <c r="G54" s="12" t="s">
        <v>263</v>
      </c>
      <c r="H54" s="9" t="s">
        <v>246</v>
      </c>
      <c r="I54" s="9" t="s">
        <v>264</v>
      </c>
      <c r="J54" s="9" t="s">
        <v>265</v>
      </c>
      <c r="K54" s="9" t="s">
        <v>266</v>
      </c>
      <c r="L54" s="9"/>
      <c r="M54" s="12" t="s">
        <v>242</v>
      </c>
      <c r="N54" s="9"/>
      <c r="O54" s="9"/>
    </row>
    <row r="55" spans="1:15" ht="25.5" x14ac:dyDescent="0.25">
      <c r="A55" s="11" t="s">
        <v>320</v>
      </c>
      <c r="B55" s="12" t="s">
        <v>21</v>
      </c>
      <c r="C55" s="9" t="s">
        <v>321</v>
      </c>
      <c r="D55" s="9" t="s">
        <v>253</v>
      </c>
      <c r="E55" s="9" t="s">
        <v>322</v>
      </c>
      <c r="F55" s="9" t="s">
        <v>323</v>
      </c>
      <c r="G55" s="12" t="s">
        <v>263</v>
      </c>
      <c r="H55" s="9" t="s">
        <v>324</v>
      </c>
      <c r="I55" s="9" t="s">
        <v>325</v>
      </c>
      <c r="J55" s="9" t="s">
        <v>326</v>
      </c>
      <c r="K55" s="9" t="s">
        <v>327</v>
      </c>
      <c r="L55" s="9"/>
      <c r="M55" s="12" t="s">
        <v>242</v>
      </c>
      <c r="N55" s="9"/>
      <c r="O55" s="9" t="s">
        <v>328</v>
      </c>
    </row>
    <row r="56" spans="1:15" ht="25.5" x14ac:dyDescent="0.25">
      <c r="A56" s="11" t="s">
        <v>385</v>
      </c>
      <c r="B56" s="12" t="s">
        <v>26</v>
      </c>
      <c r="C56" s="9" t="s">
        <v>386</v>
      </c>
      <c r="D56" s="9" t="s">
        <v>71</v>
      </c>
      <c r="E56" s="9" t="s">
        <v>387</v>
      </c>
      <c r="F56" s="9" t="s">
        <v>388</v>
      </c>
      <c r="G56" s="12" t="s">
        <v>263</v>
      </c>
      <c r="H56" s="9" t="s">
        <v>389</v>
      </c>
      <c r="I56" s="9" t="s">
        <v>390</v>
      </c>
      <c r="J56" s="9" t="s">
        <v>391</v>
      </c>
      <c r="K56" s="9" t="s">
        <v>392</v>
      </c>
      <c r="L56" s="9"/>
      <c r="M56" s="12" t="s">
        <v>242</v>
      </c>
      <c r="N56" s="9"/>
      <c r="O56" s="9" t="s">
        <v>393</v>
      </c>
    </row>
    <row r="57" spans="1:15" ht="25.5" x14ac:dyDescent="0.25">
      <c r="A57" s="11" t="s">
        <v>461</v>
      </c>
      <c r="B57" s="12" t="s">
        <v>30</v>
      </c>
      <c r="C57" s="9" t="s">
        <v>462</v>
      </c>
      <c r="D57" s="9" t="s">
        <v>71</v>
      </c>
      <c r="E57" s="9" t="s">
        <v>454</v>
      </c>
      <c r="F57" s="9" t="s">
        <v>432</v>
      </c>
      <c r="G57" s="12" t="s">
        <v>263</v>
      </c>
      <c r="H57" s="9" t="s">
        <v>456</v>
      </c>
      <c r="I57" s="9" t="s">
        <v>463</v>
      </c>
      <c r="J57" s="9" t="s">
        <v>464</v>
      </c>
      <c r="K57" s="9" t="s">
        <v>465</v>
      </c>
      <c r="L57" s="9"/>
      <c r="M57" s="12" t="s">
        <v>242</v>
      </c>
      <c r="N57" s="9"/>
      <c r="O57" s="9"/>
    </row>
    <row r="58" spans="1:15" ht="25.5" x14ac:dyDescent="0.25">
      <c r="A58" s="11" t="s">
        <v>466</v>
      </c>
      <c r="B58" s="12" t="s">
        <v>30</v>
      </c>
      <c r="C58" s="9" t="s">
        <v>467</v>
      </c>
      <c r="D58" s="9" t="s">
        <v>71</v>
      </c>
      <c r="E58" s="9" t="s">
        <v>454</v>
      </c>
      <c r="F58" s="9" t="s">
        <v>432</v>
      </c>
      <c r="G58" s="12" t="s">
        <v>263</v>
      </c>
      <c r="H58" s="9" t="s">
        <v>468</v>
      </c>
      <c r="I58" s="9" t="s">
        <v>469</v>
      </c>
      <c r="J58" s="9" t="s">
        <v>470</v>
      </c>
      <c r="K58" s="9" t="s">
        <v>471</v>
      </c>
      <c r="L58" s="9"/>
      <c r="M58" s="12" t="s">
        <v>242</v>
      </c>
      <c r="N58" s="9"/>
      <c r="O58" s="9"/>
    </row>
    <row r="59" spans="1:15" ht="25.5" x14ac:dyDescent="0.25">
      <c r="A59" s="11" t="s">
        <v>472</v>
      </c>
      <c r="B59" s="12" t="s">
        <v>30</v>
      </c>
      <c r="C59" s="9" t="s">
        <v>473</v>
      </c>
      <c r="D59" s="9" t="s">
        <v>71</v>
      </c>
      <c r="E59" s="9" t="s">
        <v>371</v>
      </c>
      <c r="F59" s="9" t="s">
        <v>474</v>
      </c>
      <c r="G59" s="12" t="s">
        <v>263</v>
      </c>
      <c r="H59" s="9" t="s">
        <v>475</v>
      </c>
      <c r="I59" s="9" t="s">
        <v>476</v>
      </c>
      <c r="J59" s="9" t="s">
        <v>477</v>
      </c>
      <c r="K59" s="9" t="s">
        <v>478</v>
      </c>
      <c r="L59" s="9"/>
      <c r="M59" s="12" t="s">
        <v>242</v>
      </c>
      <c r="N59" s="9"/>
      <c r="O59" s="9"/>
    </row>
    <row r="60" spans="1:15" ht="25.5" x14ac:dyDescent="0.25">
      <c r="A60" s="11" t="s">
        <v>479</v>
      </c>
      <c r="B60" s="12" t="s">
        <v>30</v>
      </c>
      <c r="C60" s="9" t="s">
        <v>480</v>
      </c>
      <c r="D60" s="9" t="s">
        <v>71</v>
      </c>
      <c r="E60" s="9" t="s">
        <v>481</v>
      </c>
      <c r="F60" s="9" t="s">
        <v>482</v>
      </c>
      <c r="G60" s="12" t="s">
        <v>263</v>
      </c>
      <c r="H60" s="9" t="s">
        <v>483</v>
      </c>
      <c r="I60" s="9" t="s">
        <v>484</v>
      </c>
      <c r="J60" s="9" t="s">
        <v>485</v>
      </c>
      <c r="K60" s="9" t="s">
        <v>486</v>
      </c>
      <c r="L60" s="9"/>
      <c r="M60" s="12" t="s">
        <v>242</v>
      </c>
      <c r="N60" s="9"/>
      <c r="O60" s="9"/>
    </row>
    <row r="61" spans="1:15" ht="25.5" x14ac:dyDescent="0.25">
      <c r="A61" s="11" t="s">
        <v>487</v>
      </c>
      <c r="B61" s="12" t="s">
        <v>30</v>
      </c>
      <c r="C61" s="9" t="s">
        <v>488</v>
      </c>
      <c r="D61" s="9" t="s">
        <v>253</v>
      </c>
      <c r="E61" s="9" t="s">
        <v>489</v>
      </c>
      <c r="F61" s="9" t="s">
        <v>490</v>
      </c>
      <c r="G61" s="12" t="s">
        <v>263</v>
      </c>
      <c r="H61" s="9" t="s">
        <v>420</v>
      </c>
      <c r="I61" s="9" t="s">
        <v>491</v>
      </c>
      <c r="J61" s="9" t="s">
        <v>492</v>
      </c>
      <c r="K61" s="9" t="s">
        <v>493</v>
      </c>
      <c r="L61" s="9"/>
      <c r="M61" s="12" t="s">
        <v>242</v>
      </c>
      <c r="N61" s="9"/>
      <c r="O61" s="9"/>
    </row>
    <row r="62" spans="1:15" ht="25.5" x14ac:dyDescent="0.25">
      <c r="A62" s="11" t="s">
        <v>516</v>
      </c>
      <c r="B62" s="12" t="s">
        <v>32</v>
      </c>
      <c r="C62" s="9" t="s">
        <v>517</v>
      </c>
      <c r="D62" s="9" t="s">
        <v>253</v>
      </c>
      <c r="E62" s="9" t="s">
        <v>518</v>
      </c>
      <c r="F62" s="9" t="s">
        <v>519</v>
      </c>
      <c r="G62" s="12" t="s">
        <v>263</v>
      </c>
      <c r="H62" s="9" t="s">
        <v>497</v>
      </c>
      <c r="I62" s="9" t="s">
        <v>520</v>
      </c>
      <c r="J62" s="9" t="s">
        <v>521</v>
      </c>
      <c r="K62" s="9" t="s">
        <v>522</v>
      </c>
      <c r="L62" s="9"/>
      <c r="M62" s="12" t="s">
        <v>242</v>
      </c>
      <c r="N62" s="9"/>
      <c r="O62" s="9" t="s">
        <v>523</v>
      </c>
    </row>
    <row r="63" spans="1:15" ht="25.5" x14ac:dyDescent="0.25">
      <c r="A63" s="11" t="s">
        <v>524</v>
      </c>
      <c r="B63" s="12" t="s">
        <v>32</v>
      </c>
      <c r="C63" s="9" t="s">
        <v>525</v>
      </c>
      <c r="D63" s="9" t="s">
        <v>253</v>
      </c>
      <c r="E63" s="9" t="s">
        <v>526</v>
      </c>
      <c r="F63" s="9" t="s">
        <v>527</v>
      </c>
      <c r="G63" s="12" t="s">
        <v>263</v>
      </c>
      <c r="H63" s="9" t="s">
        <v>497</v>
      </c>
      <c r="I63" s="9" t="s">
        <v>528</v>
      </c>
      <c r="J63" s="9" t="s">
        <v>529</v>
      </c>
      <c r="K63" s="9" t="s">
        <v>530</v>
      </c>
      <c r="L63" s="9"/>
      <c r="M63" s="12" t="s">
        <v>242</v>
      </c>
      <c r="N63" s="9"/>
      <c r="O63" s="9"/>
    </row>
    <row r="64" spans="1:15" ht="25.5" x14ac:dyDescent="0.25">
      <c r="A64" s="11" t="s">
        <v>570</v>
      </c>
      <c r="B64" s="12" t="s">
        <v>32</v>
      </c>
      <c r="C64" s="9" t="s">
        <v>571</v>
      </c>
      <c r="D64" s="9" t="s">
        <v>572</v>
      </c>
      <c r="E64" s="9" t="s">
        <v>573</v>
      </c>
      <c r="F64" s="9" t="s">
        <v>574</v>
      </c>
      <c r="G64" s="12" t="s">
        <v>263</v>
      </c>
      <c r="H64" s="9" t="s">
        <v>497</v>
      </c>
      <c r="I64" s="9" t="s">
        <v>575</v>
      </c>
      <c r="J64" s="9" t="s">
        <v>576</v>
      </c>
      <c r="K64" s="9" t="s">
        <v>577</v>
      </c>
      <c r="L64" s="9"/>
      <c r="M64" s="12" t="s">
        <v>242</v>
      </c>
      <c r="N64" s="9"/>
      <c r="O64" s="9" t="s">
        <v>578</v>
      </c>
    </row>
    <row r="65" spans="1:15" x14ac:dyDescent="0.25">
      <c r="A65" s="11" t="s">
        <v>594</v>
      </c>
      <c r="B65" s="12" t="s">
        <v>35</v>
      </c>
      <c r="C65" s="9" t="s">
        <v>595</v>
      </c>
      <c r="D65" s="9" t="s">
        <v>234</v>
      </c>
      <c r="E65" s="9" t="s">
        <v>581</v>
      </c>
      <c r="F65" s="9" t="s">
        <v>582</v>
      </c>
      <c r="G65" s="12" t="s">
        <v>263</v>
      </c>
      <c r="H65" s="9" t="s">
        <v>596</v>
      </c>
      <c r="I65" s="9" t="s">
        <v>597</v>
      </c>
      <c r="J65" s="9" t="s">
        <v>598</v>
      </c>
      <c r="K65" s="9" t="s">
        <v>599</v>
      </c>
      <c r="L65" s="9"/>
      <c r="M65" s="12" t="s">
        <v>242</v>
      </c>
      <c r="N65" s="9"/>
      <c r="O65" s="9"/>
    </row>
    <row r="66" spans="1:15" ht="25.5" x14ac:dyDescent="0.25">
      <c r="A66" s="11" t="s">
        <v>637</v>
      </c>
      <c r="B66" s="12" t="s">
        <v>40</v>
      </c>
      <c r="C66" s="9" t="s">
        <v>638</v>
      </c>
      <c r="D66" s="9" t="s">
        <v>253</v>
      </c>
      <c r="E66" s="9" t="s">
        <v>581</v>
      </c>
      <c r="F66" s="9" t="s">
        <v>627</v>
      </c>
      <c r="G66" s="12" t="s">
        <v>263</v>
      </c>
      <c r="H66" s="9" t="s">
        <v>639</v>
      </c>
      <c r="I66" s="9" t="s">
        <v>591</v>
      </c>
      <c r="J66" s="9" t="s">
        <v>640</v>
      </c>
      <c r="K66" s="9" t="s">
        <v>641</v>
      </c>
      <c r="L66" s="9"/>
      <c r="M66" s="12" t="s">
        <v>242</v>
      </c>
      <c r="N66" s="9"/>
      <c r="O66" s="9"/>
    </row>
    <row r="67" spans="1:15" ht="25.5" x14ac:dyDescent="0.25">
      <c r="A67" s="11" t="s">
        <v>642</v>
      </c>
      <c r="B67" s="12" t="s">
        <v>40</v>
      </c>
      <c r="C67" s="9" t="s">
        <v>643</v>
      </c>
      <c r="D67" s="9" t="s">
        <v>71</v>
      </c>
      <c r="E67" s="9" t="s">
        <v>581</v>
      </c>
      <c r="F67" s="9" t="s">
        <v>644</v>
      </c>
      <c r="G67" s="12" t="s">
        <v>263</v>
      </c>
      <c r="H67" s="9" t="s">
        <v>645</v>
      </c>
      <c r="I67" s="9" t="s">
        <v>591</v>
      </c>
      <c r="J67" s="9" t="s">
        <v>646</v>
      </c>
      <c r="K67" s="9" t="s">
        <v>647</v>
      </c>
      <c r="L67" s="9"/>
      <c r="M67" s="12" t="s">
        <v>242</v>
      </c>
      <c r="N67" s="9"/>
      <c r="O67" s="9"/>
    </row>
    <row r="68" spans="1:15" ht="25.5" x14ac:dyDescent="0.25">
      <c r="A68" s="11" t="s">
        <v>666</v>
      </c>
      <c r="B68" s="12" t="s">
        <v>42</v>
      </c>
      <c r="C68" s="9" t="s">
        <v>667</v>
      </c>
      <c r="D68" s="9" t="s">
        <v>253</v>
      </c>
      <c r="E68" s="9" t="s">
        <v>668</v>
      </c>
      <c r="F68" s="9" t="s">
        <v>663</v>
      </c>
      <c r="G68" s="12" t="s">
        <v>263</v>
      </c>
      <c r="H68" s="9" t="s">
        <v>583</v>
      </c>
      <c r="I68" s="9" t="s">
        <v>669</v>
      </c>
      <c r="J68" s="9" t="s">
        <v>658</v>
      </c>
      <c r="K68" s="9" t="s">
        <v>670</v>
      </c>
      <c r="L68" s="9"/>
      <c r="M68" s="12" t="s">
        <v>242</v>
      </c>
      <c r="N68" s="9"/>
      <c r="O68" s="9"/>
    </row>
    <row r="69" spans="1:15" ht="25.5" x14ac:dyDescent="0.25">
      <c r="A69" s="11" t="s">
        <v>698</v>
      </c>
      <c r="B69" s="12" t="s">
        <v>44</v>
      </c>
      <c r="C69" s="9" t="s">
        <v>699</v>
      </c>
      <c r="D69" s="9" t="s">
        <v>71</v>
      </c>
      <c r="E69" s="9" t="s">
        <v>581</v>
      </c>
      <c r="F69" s="9" t="s">
        <v>700</v>
      </c>
      <c r="G69" s="12" t="s">
        <v>263</v>
      </c>
      <c r="H69" s="9" t="s">
        <v>701</v>
      </c>
      <c r="I69" s="9" t="s">
        <v>702</v>
      </c>
      <c r="J69" s="9" t="s">
        <v>703</v>
      </c>
      <c r="K69" s="9" t="s">
        <v>704</v>
      </c>
      <c r="L69" s="9"/>
      <c r="M69" s="12" t="s">
        <v>242</v>
      </c>
      <c r="N69" s="9"/>
      <c r="O69" s="9"/>
    </row>
  </sheetData>
  <autoFilter ref="A1:O69" xr:uid="{00000000-0009-0000-0000-000003000000}">
    <sortState xmlns:xlrd2="http://schemas.microsoft.com/office/spreadsheetml/2017/richdata2" ref="A2:O69">
      <sortCondition ref="G1:G69"/>
    </sortState>
  </autoFilter>
  <conditionalFormatting sqref="M2:M399">
    <cfRule type="cellIs" dxfId="2" priority="2" operator="equal">
      <formula>"PASS"</formula>
    </cfRule>
    <cfRule type="cellIs" dxfId="1" priority="3" operator="equal">
      <formula>"FAIL"</formula>
    </cfRule>
    <cfRule type="cellIs" dxfId="0" priority="4" operator="equal">
      <formula>"Chưa chạy"</formula>
    </cfRule>
  </conditionalFormatting>
  <dataValidations count="3">
    <dataValidation type="list" allowBlank="1" sqref="D2:D399" xr:uid="{00000000-0002-0000-0300-000000000000}">
      <formula1>"Happy path,Negative,Boundary,Alternative flow,Phi chức năng"</formula1>
      <formula2>0</formula2>
    </dataValidation>
    <dataValidation type="list" allowBlank="1" sqref="G2:G399" xr:uid="{00000000-0002-0000-0300-000001000000}">
      <formula1>"Cao,Trung,Thấp"</formula1>
      <formula2>0</formula2>
    </dataValidation>
    <dataValidation type="list" allowBlank="1" sqref="M2:M399" xr:uid="{00000000-0002-0000-0300-000002000000}">
      <formula1>"Chưa chạy,PASS,FAIL"</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7"/>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x14ac:dyDescent="0.25">
      <c r="A1" s="5" t="s">
        <v>717</v>
      </c>
    </row>
    <row r="2" spans="1:10" ht="31.5" customHeight="1" x14ac:dyDescent="0.25">
      <c r="A2" s="10" t="s">
        <v>718</v>
      </c>
      <c r="B2" s="10" t="s">
        <v>719</v>
      </c>
      <c r="C2" s="10" t="s">
        <v>720</v>
      </c>
      <c r="D2" s="10" t="s">
        <v>721</v>
      </c>
      <c r="E2" s="10" t="s">
        <v>722</v>
      </c>
      <c r="F2" s="10" t="s">
        <v>723</v>
      </c>
      <c r="G2" s="10" t="s">
        <v>724</v>
      </c>
      <c r="H2" s="15" t="s">
        <v>725</v>
      </c>
      <c r="I2" s="15" t="s">
        <v>726</v>
      </c>
      <c r="J2" s="15" t="s">
        <v>727</v>
      </c>
    </row>
    <row r="3" spans="1:10" ht="51" x14ac:dyDescent="0.25">
      <c r="A3" s="16" t="s">
        <v>728</v>
      </c>
      <c r="B3" s="16" t="s">
        <v>369</v>
      </c>
      <c r="C3" s="17" t="s">
        <v>729</v>
      </c>
      <c r="D3" s="17" t="s">
        <v>730</v>
      </c>
      <c r="E3" s="17" t="s">
        <v>731</v>
      </c>
      <c r="F3" s="17" t="s">
        <v>732</v>
      </c>
      <c r="G3" s="16" t="s">
        <v>733</v>
      </c>
      <c r="H3" s="16" t="s">
        <v>29</v>
      </c>
      <c r="I3" s="16" t="s">
        <v>734</v>
      </c>
      <c r="J3" s="17"/>
    </row>
    <row r="4" spans="1:10" x14ac:dyDescent="0.25">
      <c r="A4" s="9"/>
      <c r="B4" s="9"/>
      <c r="C4" s="9"/>
      <c r="D4" s="9"/>
      <c r="E4" s="9"/>
      <c r="F4" s="9"/>
      <c r="G4" s="9"/>
      <c r="H4" s="9"/>
      <c r="I4" s="9"/>
      <c r="J4" s="9"/>
    </row>
    <row r="5" spans="1:10" x14ac:dyDescent="0.25">
      <c r="A5" s="9"/>
      <c r="B5" s="9"/>
      <c r="C5" s="9"/>
      <c r="D5" s="9"/>
      <c r="E5" s="9"/>
      <c r="F5" s="9"/>
      <c r="G5" s="9"/>
      <c r="H5" s="9"/>
      <c r="I5" s="9"/>
      <c r="J5" s="9"/>
    </row>
    <row r="6" spans="1:10" x14ac:dyDescent="0.25">
      <c r="A6" s="9"/>
      <c r="B6" s="9"/>
      <c r="C6" s="9"/>
      <c r="D6" s="9"/>
      <c r="E6" s="9"/>
      <c r="F6" s="9"/>
      <c r="G6" s="9"/>
      <c r="H6" s="9"/>
      <c r="I6" s="9"/>
      <c r="J6" s="9"/>
    </row>
    <row r="7" spans="1:10" x14ac:dyDescent="0.25">
      <c r="A7" s="9"/>
      <c r="B7" s="9"/>
      <c r="C7" s="9"/>
      <c r="D7" s="9"/>
      <c r="E7" s="9"/>
      <c r="F7" s="9"/>
      <c r="G7" s="9"/>
      <c r="H7" s="9"/>
      <c r="I7" s="9"/>
      <c r="J7" s="9"/>
    </row>
  </sheetData>
  <dataValidations count="2">
    <dataValidation type="list" allowBlank="1" sqref="G3:G300" xr:uid="{00000000-0002-0000-0400-000000000000}">
      <formula1>"Critical,High,Medium,Low"</formula1>
      <formula2>0</formula2>
    </dataValidation>
    <dataValidation type="list" allowBlank="1" sqref="I3:I300"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6"/>
  <sheetViews>
    <sheetView showGridLines="0" zoomScale="90" zoomScaleNormal="90" workbookViewId="0"/>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4" t="s">
        <v>735</v>
      </c>
    </row>
    <row r="2" spans="1:10" x14ac:dyDescent="0.25">
      <c r="A2" s="5" t="s">
        <v>736</v>
      </c>
    </row>
    <row r="4" spans="1:10" ht="31.5" customHeight="1" x14ac:dyDescent="0.25">
      <c r="A4" s="10" t="s">
        <v>14</v>
      </c>
      <c r="B4" s="10" t="s">
        <v>15</v>
      </c>
      <c r="C4" s="10" t="s">
        <v>737</v>
      </c>
      <c r="D4" s="10" t="s">
        <v>738</v>
      </c>
      <c r="E4" s="10" t="s">
        <v>739</v>
      </c>
      <c r="F4" s="10" t="s">
        <v>740</v>
      </c>
      <c r="G4" s="10" t="s">
        <v>741</v>
      </c>
      <c r="H4" s="10" t="s">
        <v>242</v>
      </c>
      <c r="I4" s="10" t="s">
        <v>742</v>
      </c>
      <c r="J4" s="10" t="s">
        <v>743</v>
      </c>
    </row>
    <row r="5" spans="1:10" x14ac:dyDescent="0.25">
      <c r="A5" s="11" t="s">
        <v>21</v>
      </c>
      <c r="B5" s="9" t="s">
        <v>22</v>
      </c>
      <c r="C5" s="12" t="s">
        <v>25</v>
      </c>
      <c r="D5" s="12">
        <f>COUNTIF('Test Case'!$B:$B,$A5)</f>
        <v>11</v>
      </c>
      <c r="E5" s="12">
        <f t="shared" ref="E5:E12" si="0">F5+G5</f>
        <v>1</v>
      </c>
      <c r="F5" s="12">
        <f>COUNTIFS('Test Case'!$B:$B,$A5,'Test Case'!$M:$M,"PASS")</f>
        <v>1</v>
      </c>
      <c r="G5" s="12">
        <f>COUNTIFS('Test Case'!$B:$B,$A5,'Test Case'!$M:$M,"FAIL")</f>
        <v>0</v>
      </c>
      <c r="H5" s="12">
        <f t="shared" ref="H5:H12" si="1">D5-E5</f>
        <v>10</v>
      </c>
      <c r="I5" s="18">
        <f t="shared" ref="I5:I13" si="2">IF(E5=0,"-",F5/E5)</f>
        <v>1</v>
      </c>
      <c r="J5" s="12">
        <f>COUNTIFS('Bug Report'!$A:$A,"BUG-N5-*",'Bug Report'!$B:$B,"TC-"&amp;RIGHT($A5,2)&amp;"-*")</f>
        <v>0</v>
      </c>
    </row>
    <row r="6" spans="1:10" x14ac:dyDescent="0.25">
      <c r="A6" s="11" t="s">
        <v>26</v>
      </c>
      <c r="B6" s="9" t="s">
        <v>27</v>
      </c>
      <c r="C6" s="12" t="s">
        <v>25</v>
      </c>
      <c r="D6" s="12">
        <f>COUNTIF('Test Case'!$B:$B,$A6)</f>
        <v>11</v>
      </c>
      <c r="E6" s="12">
        <f t="shared" si="0"/>
        <v>0</v>
      </c>
      <c r="F6" s="12">
        <f>COUNTIFS('Test Case'!$B:$B,$A6,'Test Case'!$M:$M,"PASS")</f>
        <v>0</v>
      </c>
      <c r="G6" s="12">
        <f>COUNTIFS('Test Case'!$B:$B,$A6,'Test Case'!$M:$M,"FAIL")</f>
        <v>0</v>
      </c>
      <c r="H6" s="12">
        <f t="shared" si="1"/>
        <v>11</v>
      </c>
      <c r="I6" s="18" t="str">
        <f t="shared" si="2"/>
        <v>-</v>
      </c>
      <c r="J6" s="12">
        <f>COUNTIFS('Bug Report'!$A:$A,"BUG-N5-*",'Bug Report'!$B:$B,"TC-"&amp;RIGHT($A6,2)&amp;"-*")</f>
        <v>0</v>
      </c>
    </row>
    <row r="7" spans="1:10" x14ac:dyDescent="0.25">
      <c r="A7" s="11" t="s">
        <v>30</v>
      </c>
      <c r="B7" s="9" t="s">
        <v>31</v>
      </c>
      <c r="C7" s="12" t="s">
        <v>25</v>
      </c>
      <c r="D7" s="12">
        <f>COUNTIF('Test Case'!$B:$B,$A7)</f>
        <v>13</v>
      </c>
      <c r="E7" s="12">
        <f t="shared" si="0"/>
        <v>0</v>
      </c>
      <c r="F7" s="12">
        <f>COUNTIFS('Test Case'!$B:$B,$A7,'Test Case'!$M:$M,"PASS")</f>
        <v>0</v>
      </c>
      <c r="G7" s="12">
        <f>COUNTIFS('Test Case'!$B:$B,$A7,'Test Case'!$M:$M,"FAIL")</f>
        <v>0</v>
      </c>
      <c r="H7" s="12">
        <f t="shared" si="1"/>
        <v>13</v>
      </c>
      <c r="I7" s="18" t="str">
        <f t="shared" si="2"/>
        <v>-</v>
      </c>
      <c r="J7" s="12">
        <f>COUNTIFS('Bug Report'!$A:$A,"BUG-N5-*",'Bug Report'!$B:$B,"TC-"&amp;RIGHT($A7,2)&amp;"-*")</f>
        <v>0</v>
      </c>
    </row>
    <row r="8" spans="1:10" ht="25.5" x14ac:dyDescent="0.25">
      <c r="A8" s="11" t="s">
        <v>32</v>
      </c>
      <c r="B8" s="9" t="s">
        <v>33</v>
      </c>
      <c r="C8" s="12" t="s">
        <v>25</v>
      </c>
      <c r="D8" s="12">
        <f>COUNTIF('Test Case'!$B:$B,$A8)</f>
        <v>11</v>
      </c>
      <c r="E8" s="12">
        <f t="shared" si="0"/>
        <v>0</v>
      </c>
      <c r="F8" s="12">
        <f>COUNTIFS('Test Case'!$B:$B,$A8,'Test Case'!$M:$M,"PASS")</f>
        <v>0</v>
      </c>
      <c r="G8" s="12">
        <f>COUNTIFS('Test Case'!$B:$B,$A8,'Test Case'!$M:$M,"FAIL")</f>
        <v>0</v>
      </c>
      <c r="H8" s="12">
        <f t="shared" si="1"/>
        <v>11</v>
      </c>
      <c r="I8" s="18" t="str">
        <f t="shared" si="2"/>
        <v>-</v>
      </c>
      <c r="J8" s="12">
        <f>COUNTIFS('Bug Report'!$A:$A,"BUG-N5-*",'Bug Report'!$B:$B,"TC-"&amp;RIGHT($A8,2)&amp;"-*")</f>
        <v>0</v>
      </c>
    </row>
    <row r="9" spans="1:10" x14ac:dyDescent="0.25">
      <c r="A9" s="11" t="s">
        <v>35</v>
      </c>
      <c r="B9" s="9" t="s">
        <v>36</v>
      </c>
      <c r="C9" s="12" t="s">
        <v>39</v>
      </c>
      <c r="D9" s="12">
        <f>COUNTIF('Test Case'!$B:$B,$A9)</f>
        <v>5</v>
      </c>
      <c r="E9" s="12">
        <f t="shared" si="0"/>
        <v>0</v>
      </c>
      <c r="F9" s="12">
        <f>COUNTIFS('Test Case'!$B:$B,$A9,'Test Case'!$M:$M,"PASS")</f>
        <v>0</v>
      </c>
      <c r="G9" s="12">
        <f>COUNTIFS('Test Case'!$B:$B,$A9,'Test Case'!$M:$M,"FAIL")</f>
        <v>0</v>
      </c>
      <c r="H9" s="12">
        <f t="shared" si="1"/>
        <v>5</v>
      </c>
      <c r="I9" s="18" t="str">
        <f t="shared" si="2"/>
        <v>-</v>
      </c>
      <c r="J9" s="12">
        <f>COUNTIFS('Bug Report'!$A:$A,"BUG-N5-*",'Bug Report'!$B:$B,"TC-"&amp;RIGHT($A9,2)&amp;"-*")</f>
        <v>0</v>
      </c>
    </row>
    <row r="10" spans="1:10" x14ac:dyDescent="0.25">
      <c r="A10" s="11" t="s">
        <v>40</v>
      </c>
      <c r="B10" s="9" t="s">
        <v>41</v>
      </c>
      <c r="C10" s="12" t="s">
        <v>39</v>
      </c>
      <c r="D10" s="12">
        <f>COUNTIF('Test Case'!$B:$B,$A10)</f>
        <v>6</v>
      </c>
      <c r="E10" s="12">
        <f t="shared" si="0"/>
        <v>0</v>
      </c>
      <c r="F10" s="12">
        <f>COUNTIFS('Test Case'!$B:$B,$A10,'Test Case'!$M:$M,"PASS")</f>
        <v>0</v>
      </c>
      <c r="G10" s="12">
        <f>COUNTIFS('Test Case'!$B:$B,$A10,'Test Case'!$M:$M,"FAIL")</f>
        <v>0</v>
      </c>
      <c r="H10" s="12">
        <f t="shared" si="1"/>
        <v>6</v>
      </c>
      <c r="I10" s="18" t="str">
        <f t="shared" si="2"/>
        <v>-</v>
      </c>
      <c r="J10" s="12">
        <f>COUNTIFS('Bug Report'!$A:$A,"BUG-N5-*",'Bug Report'!$B:$B,"TC-"&amp;RIGHT($A10,2)&amp;"-*")</f>
        <v>0</v>
      </c>
    </row>
    <row r="11" spans="1:10" x14ac:dyDescent="0.25">
      <c r="A11" s="11" t="s">
        <v>42</v>
      </c>
      <c r="B11" s="9" t="s">
        <v>43</v>
      </c>
      <c r="C11" s="12" t="s">
        <v>39</v>
      </c>
      <c r="D11" s="12">
        <f>COUNTIF('Test Case'!$B:$B,$A11)</f>
        <v>5</v>
      </c>
      <c r="E11" s="12">
        <f t="shared" si="0"/>
        <v>0</v>
      </c>
      <c r="F11" s="12">
        <f>COUNTIFS('Test Case'!$B:$B,$A11,'Test Case'!$M:$M,"PASS")</f>
        <v>0</v>
      </c>
      <c r="G11" s="12">
        <f>COUNTIFS('Test Case'!$B:$B,$A11,'Test Case'!$M:$M,"FAIL")</f>
        <v>0</v>
      </c>
      <c r="H11" s="12">
        <f t="shared" si="1"/>
        <v>5</v>
      </c>
      <c r="I11" s="18" t="str">
        <f t="shared" si="2"/>
        <v>-</v>
      </c>
      <c r="J11" s="12">
        <f>COUNTIFS('Bug Report'!$A:$A,"BUG-N5-*",'Bug Report'!$B:$B,"TC-"&amp;RIGHT($A11,2)&amp;"-*")</f>
        <v>0</v>
      </c>
    </row>
    <row r="12" spans="1:10" x14ac:dyDescent="0.25">
      <c r="A12" s="11" t="s">
        <v>44</v>
      </c>
      <c r="B12" s="9" t="s">
        <v>45</v>
      </c>
      <c r="C12" s="12" t="s">
        <v>39</v>
      </c>
      <c r="D12" s="12">
        <f>COUNTIF('Test Case'!$B:$B,$A12)</f>
        <v>6</v>
      </c>
      <c r="E12" s="12">
        <f t="shared" si="0"/>
        <v>0</v>
      </c>
      <c r="F12" s="12">
        <f>COUNTIFS('Test Case'!$B:$B,$A12,'Test Case'!$M:$M,"PASS")</f>
        <v>0</v>
      </c>
      <c r="G12" s="12">
        <f>COUNTIFS('Test Case'!$B:$B,$A12,'Test Case'!$M:$M,"FAIL")</f>
        <v>0</v>
      </c>
      <c r="H12" s="12">
        <f t="shared" si="1"/>
        <v>6</v>
      </c>
      <c r="I12" s="18" t="str">
        <f t="shared" si="2"/>
        <v>-</v>
      </c>
      <c r="J12" s="12">
        <f>COUNTIFS('Bug Report'!$A:$A,"BUG-N5-*",'Bug Report'!$B:$B,"TC-"&amp;RIGHT($A12,2)&amp;"-*")</f>
        <v>0</v>
      </c>
    </row>
    <row r="13" spans="1:10" x14ac:dyDescent="0.25">
      <c r="A13" s="19" t="s">
        <v>744</v>
      </c>
      <c r="B13" s="8" t="s">
        <v>745</v>
      </c>
      <c r="C13" s="20"/>
      <c r="D13" s="19">
        <f>SUM(D5:D12)</f>
        <v>68</v>
      </c>
      <c r="E13" s="19">
        <f>SUM(E5:E12)</f>
        <v>1</v>
      </c>
      <c r="F13" s="19">
        <f>SUM(F5:F12)</f>
        <v>1</v>
      </c>
      <c r="G13" s="19">
        <f>SUM(G5:G12)</f>
        <v>0</v>
      </c>
      <c r="H13" s="19">
        <f>SUM(H5:H12)</f>
        <v>67</v>
      </c>
      <c r="I13" s="21">
        <f t="shared" si="2"/>
        <v>1</v>
      </c>
      <c r="J13" s="19">
        <f>SUM(J5:J12)</f>
        <v>0</v>
      </c>
    </row>
    <row r="15" spans="1:10" x14ac:dyDescent="0.25">
      <c r="A15" s="22" t="s">
        <v>746</v>
      </c>
    </row>
    <row r="16" spans="1:10" ht="31.5" customHeight="1" x14ac:dyDescent="0.25">
      <c r="A16" s="10" t="s">
        <v>220</v>
      </c>
      <c r="B16" s="10"/>
      <c r="C16" s="10"/>
      <c r="D16" s="10" t="s">
        <v>738</v>
      </c>
      <c r="E16" s="10" t="s">
        <v>740</v>
      </c>
      <c r="F16" s="10" t="s">
        <v>741</v>
      </c>
    </row>
    <row r="17" spans="1:10" x14ac:dyDescent="0.25">
      <c r="A17" s="14" t="s">
        <v>234</v>
      </c>
      <c r="B17" s="9"/>
      <c r="C17" s="9"/>
      <c r="D17" s="12">
        <f>COUNTIF('Test Case'!$D:$D,$A17)</f>
        <v>16</v>
      </c>
      <c r="E17" s="12">
        <f>COUNTIFS('Test Case'!$D:$D,$A17,'Test Case'!$M:$M,"PASS")</f>
        <v>1</v>
      </c>
      <c r="F17" s="12">
        <f>COUNTIFS('Test Case'!$D:$D,$A17,'Test Case'!$M:$M,"FAIL")</f>
        <v>0</v>
      </c>
    </row>
    <row r="18" spans="1:10" x14ac:dyDescent="0.25">
      <c r="A18" s="14" t="s">
        <v>253</v>
      </c>
      <c r="B18" s="9"/>
      <c r="C18" s="9"/>
      <c r="D18" s="12">
        <f>COUNTIF('Test Case'!$D:$D,$A18)</f>
        <v>20</v>
      </c>
      <c r="E18" s="12">
        <f>COUNTIFS('Test Case'!$D:$D,$A18,'Test Case'!$M:$M,"PASS")</f>
        <v>0</v>
      </c>
      <c r="F18" s="12">
        <f>COUNTIFS('Test Case'!$D:$D,$A18,'Test Case'!$M:$M,"FAIL")</f>
        <v>0</v>
      </c>
    </row>
    <row r="19" spans="1:10" x14ac:dyDescent="0.25">
      <c r="A19" s="14" t="s">
        <v>277</v>
      </c>
      <c r="B19" s="9"/>
      <c r="C19" s="9"/>
      <c r="D19" s="12">
        <f>COUNTIF('Test Case'!$D:$D,$A19)</f>
        <v>12</v>
      </c>
      <c r="E19" s="12">
        <f>COUNTIFS('Test Case'!$D:$D,$A19,'Test Case'!$M:$M,"PASS")</f>
        <v>0</v>
      </c>
      <c r="F19" s="12">
        <f>COUNTIFS('Test Case'!$D:$D,$A19,'Test Case'!$M:$M,"FAIL")</f>
        <v>0</v>
      </c>
    </row>
    <row r="20" spans="1:10" x14ac:dyDescent="0.25">
      <c r="A20" s="14" t="s">
        <v>71</v>
      </c>
      <c r="B20" s="9"/>
      <c r="C20" s="9"/>
      <c r="D20" s="12">
        <f>COUNTIF('Test Case'!$D:$D,$A20)</f>
        <v>19</v>
      </c>
      <c r="E20" s="12">
        <f>COUNTIFS('Test Case'!$D:$D,$A20,'Test Case'!$M:$M,"PASS")</f>
        <v>0</v>
      </c>
      <c r="F20" s="12">
        <f>COUNTIFS('Test Case'!$D:$D,$A20,'Test Case'!$M:$M,"FAIL")</f>
        <v>0</v>
      </c>
    </row>
    <row r="21" spans="1:10" x14ac:dyDescent="0.25">
      <c r="A21" s="14" t="s">
        <v>572</v>
      </c>
      <c r="B21" s="9"/>
      <c r="C21" s="9"/>
      <c r="D21" s="12">
        <f>COUNTIF('Test Case'!$D:$D,$A21)</f>
        <v>1</v>
      </c>
      <c r="E21" s="12">
        <f>COUNTIFS('Test Case'!$D:$D,$A21,'Test Case'!$M:$M,"PASS")</f>
        <v>0</v>
      </c>
      <c r="F21" s="12">
        <f>COUNTIFS('Test Case'!$D:$D,$A21,'Test Case'!$M:$M,"FAIL")</f>
        <v>0</v>
      </c>
    </row>
    <row r="24" spans="1:10" x14ac:dyDescent="0.25">
      <c r="A24" s="22" t="s">
        <v>747</v>
      </c>
    </row>
    <row r="25" spans="1:10" ht="31.5" customHeight="1" x14ac:dyDescent="0.25">
      <c r="A25" s="10" t="s">
        <v>748</v>
      </c>
      <c r="B25" s="10"/>
      <c r="C25" s="10"/>
      <c r="D25" s="10" t="s">
        <v>743</v>
      </c>
      <c r="E25" s="10" t="s">
        <v>749</v>
      </c>
      <c r="F25" s="10" t="s">
        <v>750</v>
      </c>
    </row>
    <row r="26" spans="1:10" x14ac:dyDescent="0.25">
      <c r="A26" s="14" t="s">
        <v>751</v>
      </c>
      <c r="B26" s="9"/>
      <c r="C26" s="9"/>
      <c r="D26" s="12">
        <f>COUNTIFS('Bug Report'!$A:$A,"BUG-N5-*",'Bug Report'!$G:$G,$A26)</f>
        <v>0</v>
      </c>
      <c r="E26" s="12">
        <f>COUNTIFS('Bug Report'!$A:$A,"BUG-N5-*",'Bug Report'!$G:$G,$A26,'Bug Report'!$I:$I,"Đã retest đạt")</f>
        <v>0</v>
      </c>
      <c r="F26" s="12">
        <f>D26-E26</f>
        <v>0</v>
      </c>
    </row>
    <row r="27" spans="1:10" x14ac:dyDescent="0.25">
      <c r="A27" s="14" t="s">
        <v>733</v>
      </c>
      <c r="B27" s="9"/>
      <c r="C27" s="9"/>
      <c r="D27" s="12">
        <f>COUNTIFS('Bug Report'!$A:$A,"BUG-N5-*",'Bug Report'!$G:$G,$A27)</f>
        <v>0</v>
      </c>
      <c r="E27" s="12">
        <f>COUNTIFS('Bug Report'!$A:$A,"BUG-N5-*",'Bug Report'!$G:$G,$A27,'Bug Report'!$I:$I,"Đã retest đạt")</f>
        <v>0</v>
      </c>
      <c r="F27" s="12">
        <f>D27-E27</f>
        <v>0</v>
      </c>
    </row>
    <row r="28" spans="1:10" x14ac:dyDescent="0.25">
      <c r="A28" s="14" t="s">
        <v>752</v>
      </c>
      <c r="B28" s="9"/>
      <c r="C28" s="9"/>
      <c r="D28" s="12">
        <f>COUNTIFS('Bug Report'!$A:$A,"BUG-N5-*",'Bug Report'!$G:$G,$A28)</f>
        <v>0</v>
      </c>
      <c r="E28" s="12">
        <f>COUNTIFS('Bug Report'!$A:$A,"BUG-N5-*",'Bug Report'!$G:$G,$A28,'Bug Report'!$I:$I,"Đã retest đạt")</f>
        <v>0</v>
      </c>
      <c r="F28" s="12">
        <f>D28-E28</f>
        <v>0</v>
      </c>
    </row>
    <row r="29" spans="1:10" x14ac:dyDescent="0.25">
      <c r="A29" s="14" t="s">
        <v>753</v>
      </c>
      <c r="B29" s="9"/>
      <c r="C29" s="9"/>
      <c r="D29" s="12">
        <f>COUNTIFS('Bug Report'!$A:$A,"BUG-N5-*",'Bug Report'!$G:$G,$A29)</f>
        <v>0</v>
      </c>
      <c r="E29" s="12">
        <f>COUNTIFS('Bug Report'!$A:$A,"BUG-N5-*",'Bug Report'!$G:$G,$A29,'Bug Report'!$I:$I,"Đã retest đạt")</f>
        <v>0</v>
      </c>
      <c r="F29" s="12">
        <f>D29-E29</f>
        <v>0</v>
      </c>
    </row>
    <row r="31" spans="1:10" x14ac:dyDescent="0.25">
      <c r="A31" s="22" t="s">
        <v>754</v>
      </c>
    </row>
    <row r="32" spans="1:10" ht="19.5" customHeight="1" x14ac:dyDescent="0.25">
      <c r="A32" s="8" t="s">
        <v>755</v>
      </c>
      <c r="B32" s="3" t="str">
        <f>"Đã chạy "&amp;E13&amp;" / "&amp;D13&amp;" TC; PASS "&amp;F13&amp;"; FAIL "&amp;G13&amp;"; tỉ lệ pass "&amp;IF(E13=0,"-",TEXT(F13/E13,"0.0%"))</f>
        <v>Đã chạy 1 / 68 TC; PASS 1; FAIL 0; tỉ lệ pass 100.0%</v>
      </c>
      <c r="C32" s="3"/>
      <c r="D32" s="3"/>
      <c r="E32" s="3"/>
      <c r="F32" s="3"/>
      <c r="G32" s="3"/>
      <c r="H32" s="3"/>
      <c r="I32" s="3"/>
      <c r="J32" s="3"/>
    </row>
    <row r="33" spans="1:10" ht="48" customHeight="1" x14ac:dyDescent="0.25">
      <c r="A33" s="8" t="s">
        <v>756</v>
      </c>
      <c r="B33" s="2"/>
      <c r="C33" s="2"/>
      <c r="D33" s="2"/>
      <c r="E33" s="2"/>
      <c r="F33" s="2"/>
      <c r="G33" s="2"/>
      <c r="H33" s="2"/>
      <c r="I33" s="2"/>
      <c r="J33" s="2"/>
    </row>
    <row r="34" spans="1:10" ht="48" customHeight="1" x14ac:dyDescent="0.25">
      <c r="A34" s="8" t="s">
        <v>757</v>
      </c>
      <c r="B34" s="2"/>
      <c r="C34" s="2"/>
      <c r="D34" s="2"/>
      <c r="E34" s="2"/>
      <c r="F34" s="2"/>
      <c r="G34" s="2"/>
      <c r="H34" s="2"/>
      <c r="I34" s="2"/>
      <c r="J34" s="2"/>
    </row>
    <row r="35" spans="1:10" ht="48" customHeight="1" x14ac:dyDescent="0.25">
      <c r="A35" s="8" t="s">
        <v>758</v>
      </c>
      <c r="B35" s="2"/>
      <c r="C35" s="2"/>
      <c r="D35" s="2"/>
      <c r="E35" s="2"/>
      <c r="F35" s="2"/>
      <c r="G35" s="2"/>
      <c r="H35" s="2"/>
      <c r="I35" s="2"/>
      <c r="J35" s="2"/>
    </row>
    <row r="36" spans="1:10" ht="48" customHeight="1" x14ac:dyDescent="0.25">
      <c r="A36" s="8" t="s">
        <v>759</v>
      </c>
      <c r="B36" s="2"/>
      <c r="C36" s="2"/>
      <c r="D36" s="2"/>
      <c r="E36" s="2"/>
      <c r="F36" s="2"/>
      <c r="G36" s="2"/>
      <c r="H36" s="2"/>
      <c r="I36" s="2"/>
      <c r="J36" s="2"/>
    </row>
  </sheetData>
  <mergeCells count="5">
    <mergeCell ref="B32:J32"/>
    <mergeCell ref="B33:J33"/>
    <mergeCell ref="B34:J34"/>
    <mergeCell ref="B35:J35"/>
    <mergeCell ref="B36:J3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7D31"/>
  </sheetPr>
  <dimension ref="A1:H18"/>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7" customWidth="1"/>
    <col min="2" max="2" width="8" customWidth="1"/>
    <col min="3" max="3" width="54" customWidth="1"/>
    <col min="4" max="4" width="46" customWidth="1"/>
    <col min="5" max="5" width="14" customWidth="1"/>
    <col min="6" max="6" width="22" customWidth="1"/>
    <col min="7" max="7" width="36" customWidth="1"/>
    <col min="8" max="8" width="14" customWidth="1"/>
  </cols>
  <sheetData>
    <row r="1" spans="1:8" x14ac:dyDescent="0.25">
      <c r="A1" s="5" t="s">
        <v>760</v>
      </c>
    </row>
    <row r="2" spans="1:8" ht="31.5" customHeight="1" x14ac:dyDescent="0.25">
      <c r="A2" s="10" t="s">
        <v>761</v>
      </c>
      <c r="B2" s="10" t="s">
        <v>14</v>
      </c>
      <c r="C2" s="10" t="s">
        <v>762</v>
      </c>
      <c r="D2" s="10" t="s">
        <v>763</v>
      </c>
      <c r="E2" s="10" t="s">
        <v>764</v>
      </c>
      <c r="F2" s="10" t="s">
        <v>765</v>
      </c>
      <c r="G2" s="15" t="s">
        <v>766</v>
      </c>
      <c r="H2" s="15" t="s">
        <v>726</v>
      </c>
    </row>
    <row r="3" spans="1:8" ht="25.5" x14ac:dyDescent="0.25">
      <c r="A3" s="11" t="s">
        <v>767</v>
      </c>
      <c r="B3" s="12" t="s">
        <v>26</v>
      </c>
      <c r="C3" s="9" t="s">
        <v>768</v>
      </c>
      <c r="D3" s="9" t="s">
        <v>769</v>
      </c>
      <c r="E3" s="12" t="s">
        <v>29</v>
      </c>
      <c r="F3" s="9" t="s">
        <v>385</v>
      </c>
      <c r="G3" s="13"/>
      <c r="H3" s="23" t="s">
        <v>770</v>
      </c>
    </row>
    <row r="4" spans="1:8" ht="38.25" x14ac:dyDescent="0.25">
      <c r="A4" s="11" t="s">
        <v>771</v>
      </c>
      <c r="B4" s="12" t="s">
        <v>21</v>
      </c>
      <c r="C4" s="9" t="s">
        <v>772</v>
      </c>
      <c r="D4" s="9" t="s">
        <v>773</v>
      </c>
      <c r="E4" s="12" t="s">
        <v>24</v>
      </c>
      <c r="F4" s="9" t="s">
        <v>774</v>
      </c>
      <c r="G4" s="13"/>
      <c r="H4" s="23" t="s">
        <v>770</v>
      </c>
    </row>
    <row r="5" spans="1:8" ht="25.5" x14ac:dyDescent="0.25">
      <c r="A5" s="11" t="s">
        <v>775</v>
      </c>
      <c r="B5" s="12" t="s">
        <v>21</v>
      </c>
      <c r="C5" s="9" t="s">
        <v>776</v>
      </c>
      <c r="D5" s="9" t="s">
        <v>777</v>
      </c>
      <c r="E5" s="12" t="s">
        <v>24</v>
      </c>
      <c r="F5" s="9" t="s">
        <v>267</v>
      </c>
      <c r="G5" s="13"/>
      <c r="H5" s="23" t="s">
        <v>770</v>
      </c>
    </row>
    <row r="6" spans="1:8" ht="25.5" x14ac:dyDescent="0.25">
      <c r="A6" s="11" t="s">
        <v>778</v>
      </c>
      <c r="B6" s="12" t="s">
        <v>21</v>
      </c>
      <c r="C6" s="9" t="s">
        <v>779</v>
      </c>
      <c r="D6" s="9" t="s">
        <v>780</v>
      </c>
      <c r="E6" s="12" t="s">
        <v>781</v>
      </c>
      <c r="F6" s="9" t="s">
        <v>782</v>
      </c>
      <c r="G6" s="13"/>
      <c r="H6" s="23" t="s">
        <v>770</v>
      </c>
    </row>
    <row r="7" spans="1:8" ht="38.25" x14ac:dyDescent="0.25">
      <c r="A7" s="11" t="s">
        <v>783</v>
      </c>
      <c r="B7" s="12" t="s">
        <v>784</v>
      </c>
      <c r="C7" s="9" t="s">
        <v>785</v>
      </c>
      <c r="D7" s="9" t="s">
        <v>786</v>
      </c>
      <c r="E7" s="12" t="s">
        <v>787</v>
      </c>
      <c r="F7" s="9" t="s">
        <v>788</v>
      </c>
      <c r="G7" s="13"/>
      <c r="H7" s="23" t="s">
        <v>789</v>
      </c>
    </row>
    <row r="8" spans="1:8" ht="38.25" x14ac:dyDescent="0.25">
      <c r="A8" s="11" t="s">
        <v>790</v>
      </c>
      <c r="B8" s="12" t="s">
        <v>26</v>
      </c>
      <c r="C8" s="9" t="s">
        <v>791</v>
      </c>
      <c r="D8" s="9" t="s">
        <v>792</v>
      </c>
      <c r="E8" s="12" t="s">
        <v>29</v>
      </c>
      <c r="F8" s="9" t="s">
        <v>793</v>
      </c>
      <c r="G8" s="13"/>
      <c r="H8" s="23" t="s">
        <v>770</v>
      </c>
    </row>
    <row r="9" spans="1:8" ht="25.5" x14ac:dyDescent="0.25">
      <c r="A9" s="11" t="s">
        <v>794</v>
      </c>
      <c r="B9" s="12" t="s">
        <v>32</v>
      </c>
      <c r="C9" s="9" t="s">
        <v>795</v>
      </c>
      <c r="D9" s="9" t="s">
        <v>796</v>
      </c>
      <c r="E9" s="12" t="s">
        <v>29</v>
      </c>
      <c r="F9" s="9" t="s">
        <v>561</v>
      </c>
      <c r="G9" s="13"/>
      <c r="H9" s="23" t="s">
        <v>770</v>
      </c>
    </row>
    <row r="10" spans="1:8" ht="38.25" x14ac:dyDescent="0.25">
      <c r="A10" s="11" t="s">
        <v>797</v>
      </c>
      <c r="B10" s="12" t="s">
        <v>784</v>
      </c>
      <c r="C10" s="9" t="s">
        <v>798</v>
      </c>
      <c r="D10" s="9" t="s">
        <v>799</v>
      </c>
      <c r="E10" s="12" t="s">
        <v>29</v>
      </c>
      <c r="F10" s="9" t="s">
        <v>800</v>
      </c>
      <c r="G10" s="13"/>
      <c r="H10" s="23" t="s">
        <v>770</v>
      </c>
    </row>
    <row r="11" spans="1:8" ht="25.5" x14ac:dyDescent="0.25">
      <c r="A11" s="11" t="s">
        <v>801</v>
      </c>
      <c r="B11" s="12" t="s">
        <v>30</v>
      </c>
      <c r="C11" s="9" t="s">
        <v>802</v>
      </c>
      <c r="D11" s="9" t="s">
        <v>799</v>
      </c>
      <c r="E11" s="12" t="s">
        <v>29</v>
      </c>
      <c r="F11" s="9" t="s">
        <v>800</v>
      </c>
      <c r="G11" s="13"/>
      <c r="H11" s="23" t="s">
        <v>770</v>
      </c>
    </row>
    <row r="12" spans="1:8" ht="38.25" x14ac:dyDescent="0.25">
      <c r="A12" s="11" t="s">
        <v>803</v>
      </c>
      <c r="B12" s="12" t="s">
        <v>32</v>
      </c>
      <c r="C12" s="9" t="s">
        <v>804</v>
      </c>
      <c r="D12" s="9" t="s">
        <v>805</v>
      </c>
      <c r="E12" s="12" t="s">
        <v>29</v>
      </c>
      <c r="F12" s="9" t="s">
        <v>806</v>
      </c>
      <c r="G12" s="13"/>
      <c r="H12" s="23" t="s">
        <v>770</v>
      </c>
    </row>
    <row r="13" spans="1:8" ht="25.5" x14ac:dyDescent="0.25">
      <c r="A13" s="11" t="s">
        <v>807</v>
      </c>
      <c r="B13" s="12" t="s">
        <v>21</v>
      </c>
      <c r="C13" s="9" t="s">
        <v>808</v>
      </c>
      <c r="D13" s="9" t="s">
        <v>809</v>
      </c>
      <c r="E13" s="12" t="s">
        <v>810</v>
      </c>
      <c r="F13" s="9" t="s">
        <v>320</v>
      </c>
      <c r="G13" s="13"/>
      <c r="H13" s="23" t="s">
        <v>770</v>
      </c>
    </row>
    <row r="14" spans="1:8" ht="38.25" x14ac:dyDescent="0.25">
      <c r="A14" s="11" t="s">
        <v>811</v>
      </c>
      <c r="B14" s="12" t="s">
        <v>23</v>
      </c>
      <c r="C14" s="9" t="s">
        <v>812</v>
      </c>
      <c r="D14" s="9" t="s">
        <v>813</v>
      </c>
      <c r="E14" s="12" t="s">
        <v>814</v>
      </c>
      <c r="F14" s="9" t="s">
        <v>815</v>
      </c>
      <c r="G14" s="13"/>
      <c r="H14" s="23" t="s">
        <v>770</v>
      </c>
    </row>
    <row r="15" spans="1:8" ht="25.5" x14ac:dyDescent="0.25">
      <c r="A15" s="11" t="s">
        <v>816</v>
      </c>
      <c r="B15" s="12" t="s">
        <v>21</v>
      </c>
      <c r="C15" s="9" t="s">
        <v>817</v>
      </c>
      <c r="D15" s="9" t="s">
        <v>818</v>
      </c>
      <c r="E15" s="12" t="s">
        <v>24</v>
      </c>
      <c r="F15" s="9" t="s">
        <v>819</v>
      </c>
      <c r="G15" s="13"/>
      <c r="H15" s="23" t="s">
        <v>770</v>
      </c>
    </row>
    <row r="16" spans="1:8" ht="38.25" x14ac:dyDescent="0.25">
      <c r="A16" s="11" t="s">
        <v>820</v>
      </c>
      <c r="B16" s="12" t="s">
        <v>207</v>
      </c>
      <c r="C16" s="9" t="s">
        <v>821</v>
      </c>
      <c r="D16" s="9" t="s">
        <v>822</v>
      </c>
      <c r="E16" s="12" t="s">
        <v>24</v>
      </c>
      <c r="F16" s="9" t="s">
        <v>823</v>
      </c>
      <c r="G16" s="13"/>
      <c r="H16" s="23" t="s">
        <v>770</v>
      </c>
    </row>
    <row r="17" spans="1:8" ht="25.5" x14ac:dyDescent="0.25">
      <c r="A17" s="11" t="s">
        <v>824</v>
      </c>
      <c r="B17" s="12" t="s">
        <v>26</v>
      </c>
      <c r="C17" s="9" t="s">
        <v>825</v>
      </c>
      <c r="D17" s="9" t="s">
        <v>799</v>
      </c>
      <c r="E17" s="12" t="s">
        <v>29</v>
      </c>
      <c r="F17" s="9" t="s">
        <v>800</v>
      </c>
      <c r="G17" s="13"/>
      <c r="H17" s="23" t="s">
        <v>770</v>
      </c>
    </row>
    <row r="18" spans="1:8" ht="51" x14ac:dyDescent="0.25">
      <c r="A18" s="11" t="s">
        <v>826</v>
      </c>
      <c r="B18" s="12" t="s">
        <v>827</v>
      </c>
      <c r="C18" s="9" t="s">
        <v>828</v>
      </c>
      <c r="D18" s="9" t="s">
        <v>829</v>
      </c>
      <c r="E18" s="12" t="s">
        <v>781</v>
      </c>
      <c r="F18" s="9" t="s">
        <v>830</v>
      </c>
      <c r="G18" s="13"/>
      <c r="H18" s="23" t="s">
        <v>770</v>
      </c>
    </row>
  </sheetData>
  <dataValidations count="1">
    <dataValidation type="list" allowBlank="1" sqref="H3:H60" xr:uid="{00000000-0002-0000-0600-000000000000}">
      <formula1>"Chưa hỏi,Đã hỏi,Đã chốt"</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Dữ liệu test</vt:lpstr>
      <vt:lpstr>SQL hỗ trợ</vt:lpstr>
      <vt:lpstr>Test Case</vt:lpstr>
      <vt:lpstr>Bug Report</vt:lpstr>
      <vt:lpstr>Tổng hợp</vt:lpstr>
      <vt:lpstr>Cần xác nhận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2026-10-11T02:30:54Z</dcterms:modified>
  <dc:language>en-US</dc:language>
</cp:coreProperties>
</file>