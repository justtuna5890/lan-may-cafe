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tudy\Nam3\CNPM\project\lan-may-cafe\tests\Kiểm thử Phần Mềm\"/>
    </mc:Choice>
  </mc:AlternateContent>
  <xr:revisionPtr revIDLastSave="0" documentId="13_ncr:1_{778DA7DB-01EF-4A0E-A33A-C66F5D7850EA}" xr6:coauthVersionLast="47" xr6:coauthVersionMax="47" xr10:uidLastSave="{00000000-0000-0000-0000-000000000000}"/>
  <bookViews>
    <workbookView xWindow="-120" yWindow="-120" windowWidth="20730" windowHeight="11040" tabRatio="500" xr2:uid="{00000000-000D-0000-FFFF-FFFF00000000}"/>
  </bookViews>
  <sheets>
    <sheet name="Test Case" sheetId="4" r:id="rId1"/>
    <sheet name="Bug Report" sheetId="5" r:id="rId2"/>
    <sheet name="Tổng hợp" sheetId="6" r:id="rId3"/>
  </sheets>
  <definedNames>
    <definedName name="_xlnm._FilterDatabase" localSheetId="0" hidden="1">'Test Case'!$A$1:$N$65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6" l="1"/>
  <c r="D28" i="6"/>
  <c r="F28" i="6" s="1"/>
  <c r="E27" i="6"/>
  <c r="D27" i="6"/>
  <c r="F27" i="6" s="1"/>
  <c r="E26" i="6"/>
  <c r="D26" i="6"/>
  <c r="E25" i="6"/>
  <c r="D25" i="6"/>
  <c r="F20" i="6"/>
  <c r="E20" i="6"/>
  <c r="D20" i="6"/>
  <c r="F19" i="6"/>
  <c r="E19" i="6"/>
  <c r="D19" i="6"/>
  <c r="F18" i="6"/>
  <c r="E18" i="6"/>
  <c r="D18" i="6"/>
  <c r="F17" i="6"/>
  <c r="E17" i="6"/>
  <c r="D17" i="6"/>
  <c r="F16" i="6"/>
  <c r="E16" i="6"/>
  <c r="D16" i="6"/>
  <c r="J11" i="6"/>
  <c r="G11" i="6"/>
  <c r="F11" i="6"/>
  <c r="D11" i="6"/>
  <c r="J10" i="6"/>
  <c r="G10" i="6"/>
  <c r="F10" i="6"/>
  <c r="D10" i="6"/>
  <c r="J9" i="6"/>
  <c r="G9" i="6"/>
  <c r="F9" i="6"/>
  <c r="D9" i="6"/>
  <c r="J8" i="6"/>
  <c r="G8" i="6"/>
  <c r="F8" i="6"/>
  <c r="D8" i="6"/>
  <c r="J7" i="6"/>
  <c r="G7" i="6"/>
  <c r="F7" i="6"/>
  <c r="D7" i="6"/>
  <c r="J6" i="6"/>
  <c r="G6" i="6"/>
  <c r="F6" i="6"/>
  <c r="D6" i="6"/>
  <c r="J5" i="6"/>
  <c r="G5" i="6"/>
  <c r="F5" i="6"/>
  <c r="D5" i="6"/>
  <c r="J4" i="6"/>
  <c r="G4" i="6"/>
  <c r="F4" i="6"/>
  <c r="D4" i="6"/>
  <c r="E9" i="6" l="1"/>
  <c r="E8" i="6"/>
  <c r="E4" i="6"/>
  <c r="E11" i="6"/>
  <c r="F26" i="6"/>
  <c r="F25" i="6"/>
  <c r="E7" i="6"/>
  <c r="J12" i="6"/>
  <c r="E10" i="6"/>
  <c r="E5" i="6"/>
  <c r="E6" i="6"/>
  <c r="G12" i="6"/>
  <c r="F12" i="6"/>
  <c r="D12" i="6"/>
  <c r="H9" i="6" l="1"/>
  <c r="I9" i="6"/>
  <c r="H8" i="6"/>
  <c r="I8" i="6"/>
  <c r="H4" i="6"/>
  <c r="I4" i="6"/>
  <c r="I11" i="6"/>
  <c r="H11" i="6"/>
  <c r="H7" i="6"/>
  <c r="I7" i="6"/>
  <c r="H10" i="6"/>
  <c r="I10" i="6"/>
  <c r="H5" i="6"/>
  <c r="I5" i="6"/>
  <c r="E12" i="6"/>
  <c r="H6" i="6"/>
  <c r="I6" i="6"/>
  <c r="I12" i="6" l="1"/>
  <c r="B31" i="6"/>
  <c r="H12" i="6"/>
</calcChain>
</file>

<file path=xl/sharedStrings.xml><?xml version="1.0" encoding="utf-8"?>
<sst xmlns="http://schemas.openxmlformats.org/spreadsheetml/2006/main" count="1135" uniqueCount="685">
  <si>
    <t>UC</t>
  </si>
  <si>
    <t>Tên UC</t>
  </si>
  <si>
    <t>UC21</t>
  </si>
  <si>
    <t>Đăng nhập hệ thống</t>
  </si>
  <si>
    <t>Kiệt</t>
  </si>
  <si>
    <t>UC01</t>
  </si>
  <si>
    <t>Tạo và gửi order</t>
  </si>
  <si>
    <t>UC04</t>
  </si>
  <si>
    <t>Cập nhật order (gọi thêm, sửa, hủy món)</t>
  </si>
  <si>
    <t>UC10</t>
  </si>
  <si>
    <t>Thanh toán hóa đơn (UC10.1 tiền mặt, UC10.2 QR giả lập)</t>
  </si>
  <si>
    <t>UC15</t>
  </si>
  <si>
    <t>Hiển thị danh sách đơn hàng (KDS)</t>
  </si>
  <si>
    <t>Duy</t>
  </si>
  <si>
    <t>UC16</t>
  </si>
  <si>
    <t>Cập nhật trạng thái chế biến</t>
  </si>
  <si>
    <t>UC18</t>
  </si>
  <si>
    <t>Đánh dấu hết nguyên liệu</t>
  </si>
  <si>
    <t>UC08</t>
  </si>
  <si>
    <t>Lập hóa đơn</t>
  </si>
  <si>
    <t>Alternative flow</t>
  </si>
  <si>
    <t>TC-10-09</t>
  </si>
  <si>
    <t>ID</t>
  </si>
  <si>
    <t>Tiêu đề</t>
  </si>
  <si>
    <t>Loại</t>
  </si>
  <si>
    <t>Kỹ thuật</t>
  </si>
  <si>
    <t>Truy vết (UC Spec / API)</t>
  </si>
  <si>
    <t>Ưu tiên</t>
  </si>
  <si>
    <t>Pre-condition</t>
  </si>
  <si>
    <t>Dữ liệu test</t>
  </si>
  <si>
    <t>Expected result</t>
  </si>
  <si>
    <t>Actual result</t>
  </si>
  <si>
    <t>Pass/Fail</t>
  </si>
  <si>
    <t>Ảnh bằng chứng</t>
  </si>
  <si>
    <t>Ghi chú / giả định</t>
  </si>
  <si>
    <t>TC-21-01</t>
  </si>
  <si>
    <t>Đăng nhập thành công bằng tài khoản Phục vụ</t>
  </si>
  <si>
    <t>Happy path</t>
  </si>
  <si>
    <t>Functional (main flow)</t>
  </si>
  <si>
    <t>api-contract §3 UC21 (POST /auth/login); UC21 main flow</t>
  </si>
  <si>
    <t>Cao</t>
  </si>
  <si>
    <t>Đã nạp lại schema.sql rồi seed.sql; server đang chạy. phucvu01 đang hoạt động, so_lan_sai = 0.</t>
  </si>
  <si>
    <t>username = phucvu01; password = 123456</t>
  </si>
  <si>
    <t>HTTP 200, success=true. data có token, nhanVienId, hoTen, vaiTro=PHUC_VU, trangChu="/tables.html".
Giao diện chuyển sang màn Sơ đồ bàn.</t>
  </si>
  <si>
    <t>Chưa chạy</t>
  </si>
  <si>
    <t>TC-21-02</t>
  </si>
  <si>
    <t>Điều hướng đúng màn hình theo vai trò (Barista, Thu ngân, Chủ quán)</t>
  </si>
  <si>
    <t>api-contract §3 UC21 (POST /auth/login); BPC H2 (điều hướng theo vai trò)</t>
  </si>
  <si>
    <t>Đã nạp lại schema.sql rồi seed.sql; server đang chạy.</t>
  </si>
  <si>
    <t>barista01, thungan01, chutquan01 ; mật khẩu 123456</t>
  </si>
  <si>
    <t>BARISTA → Màn bếp (KDS). THU_NGAN → POS. CHU_QUAN → trang tổng quan.
vaiTro trong response khớp từng tài khoản.</t>
  </si>
  <si>
    <t>Nếu một vai trò sai thì ghi FAIL và nêu rõ vai trò nào trong Actual.</t>
  </si>
  <si>
    <t>TC-21-03</t>
  </si>
  <si>
    <t>Đăng nhập với mật khẩu sai</t>
  </si>
  <si>
    <t>Negative</t>
  </si>
  <si>
    <t>EP (invalid class: mật khẩu sai)</t>
  </si>
  <si>
    <t>api-contract §3 UC21 (POST /auth/login); mã lỗi SAI_THONG_TIN</t>
  </si>
  <si>
    <t>Đã nạp lại schema.sql rồi seed.sql; server đang chạy. phucvu01 có so_lan_sai = 0.</t>
  </si>
  <si>
    <t>username = phucvu01; password = "saimatkhau"</t>
  </si>
  <si>
    <t>HTTP 401, success=false, maLoi=SAI_THONG_TIN.
Thông báo chung, không chỉ ra sai ô nào. Ở lại trang đăng nhập, không có token.
so_lan_sai của tài khoản tăng thêm 1.</t>
  </si>
  <si>
    <t>TC-21-04</t>
  </si>
  <si>
    <t>Đăng nhập với username không tồn tại</t>
  </si>
  <si>
    <t>EP (invalid class: username không tồn tại)</t>
  </si>
  <si>
    <t>Trung</t>
  </si>
  <si>
    <t>username = "khongtontai"; password = "123456"</t>
  </si>
  <si>
    <t>HTTP 401, maLoi=SAI_THONG_TIN, thông báo giống hệt TC-21-03 (không lộ username có tồn tại hay không).</t>
  </si>
  <si>
    <t>TC-21-05</t>
  </si>
  <si>
    <t>Bỏ trống username hoặc mật khẩu</t>
  </si>
  <si>
    <t>EP (invalid class: dữ liệu rỗng)</t>
  </si>
  <si>
    <t>api-contract §3 UC21 (POST /auth/login); mã lỗi THIEU_THONG_TIN</t>
  </si>
  <si>
    <t>(a) username rỗng, password = 123456
(b) username = phucvu01, password rỗng</t>
  </si>
  <si>
    <t>Giả định: bỏ trống ô không tính vào so_lan_sai [X03].</t>
  </si>
  <si>
    <t>TC-21-06</t>
  </si>
  <si>
    <t>Sai 4 lần liên tiếp: chưa bị khóa, đăng nhập đúng vẫn vào được</t>
  </si>
  <si>
    <t>Boundary</t>
  </si>
  <si>
    <t>BVA (ngưỡng khóa = 5; giá trị 4, sát dưới ngưỡng)</t>
  </si>
  <si>
    <t>api-contract §3 UC21 (POST /auth/login); UC21 EF-1; BPC H2 (sai 5 lần thì khóa)</t>
  </si>
  <si>
    <t>4 lần password sai, sau đó 1 lần password = 123456</t>
  </si>
  <si>
    <t>4 lần đầu: HTTP 401 SAI_THONG_TIN (chưa bị khóa).
Lần đăng nhập đúng: HTTP 200, vào Sơ đồ bàn. so_lan_sai về 0.</t>
  </si>
  <si>
    <t>Giả định: đăng nhập đúng thì reset bộ đếm [X02].</t>
  </si>
  <si>
    <t>TC-21-07</t>
  </si>
  <si>
    <t>Sai 5 lần liên tiếp: tài khoản bị khóa (EF-1)</t>
  </si>
  <si>
    <t>BVA (ngưỡng khóa = 5) + luồng EF-1</t>
  </si>
  <si>
    <t>api-contract §3 UC21 (POST /auth/login); UC21 EF-1; BPC H2</t>
  </si>
  <si>
    <t>5 lần password sai, sau đó 1 lần password = 123456</t>
  </si>
  <si>
    <t>Từ lần sai thứ 5: HTTP 423, maLoi=TAI_KHOAN_BI_KHOA.
Lần thứ 6 dù mật khẩu đúng vẫn HTTP 423, không có token.
CSDL: nhan_vien.trang_thai = 'BI_KHOA', so_lan_sai ≥ 5.</t>
  </si>
  <si>
    <t>Nạp lại schema.sql + seed.sql sau TC này. Giả định lần sai thứ 5 đã trả 423 [X02].</t>
  </si>
  <si>
    <t>TC-21-08</t>
  </si>
  <si>
    <t>Đăng nhập bằng tài khoản đã bị khóa sẵn trong CSDL</t>
  </si>
  <si>
    <t>Black-box theo UC Spec (EF-1)</t>
  </si>
  <si>
    <t>api-contract §3 UC21 (POST /auth/login); UC21 EF-1</t>
  </si>
  <si>
    <t>Thấp</t>
  </si>
  <si>
    <t>Đã nạp lại schema.sql rồi seed.sql; server đang chạy. blocked01 đã bị khóa trong seed.</t>
  </si>
  <si>
    <t>username = blocked01; password đúng</t>
  </si>
  <si>
    <t>HTTP 423, maLoi=TAI_KHOAN_BI_KHOA, thông báo theo báo cáo: "Tài khoản đã bị khóa do nhập sai mật khẩu 5 lần"; không có token.</t>
  </si>
  <si>
    <t>blocked01 trong seed: trang_thai BI_KHOA, so_lan_sai = 5 [X04].</t>
  </si>
  <si>
    <t>TC-21-09</t>
  </si>
  <si>
    <t>Đăng nhập bằng tài khoản bị vô hiệu hóa (EF-2)</t>
  </si>
  <si>
    <t>Black-box theo UC Spec (EF-2)</t>
  </si>
  <si>
    <t>api-contract §3 UC21 (POST /auth/login); UC21 EF-2</t>
  </si>
  <si>
    <t>Đã nạp lại schema.sql rồi seed.sql; server đang chạy. vohieu01 có trang_thai = 'VO_HIEU' (tạo bằng SQL ở sheet "SQL hỗ trợ").</t>
  </si>
  <si>
    <t>username = vohieu01; password đúng</t>
  </si>
  <si>
    <t>HTTP 403, maLoi=TAI_KHOAN_VO_HIEU, thông báo tài khoản bị vô hiệu hóa; không có token.</t>
  </si>
  <si>
    <t>Chạy SQL tạo tài khoản vohieu01 trước TC này (sheet "SQL hỗ trợ") [X04].</t>
  </si>
  <si>
    <t>TC-21-10</t>
  </si>
  <si>
    <t>Gọi API khi chưa đăng nhập</t>
  </si>
  <si>
    <t>EP (invalid class: thiếu token)</t>
  </si>
  <si>
    <t>api-contract §1 (CHUA_DANG_NHAP); BPC H2 (middleware phân quyền)</t>
  </si>
  <si>
    <t>Chưa đăng nhập, không có token.</t>
  </si>
  <si>
    <t>GET http://localhost:3000/api/menu, không có header Authorization</t>
  </si>
  <si>
    <t>HTTP 401, success=false, maLoi=CHUA_DANG_NHAP.</t>
  </si>
  <si>
    <t>Cách gửi token do Hậu chốt [X13].</t>
  </si>
  <si>
    <t>TC-21-11</t>
  </si>
  <si>
    <t>Sai vai trò gọi API bị từ chối</t>
  </si>
  <si>
    <t>EP (invalid class: vai trò không được phép)</t>
  </si>
  <si>
    <t>api-contract §2 (POST /payments chỉ THU_NGAN), §1 (KHONG_CO_QUYEN)</t>
  </si>
  <si>
    <t>Đã đăng nhập phucvu01, có token vai trò PHUC_VU.</t>
  </si>
  <si>
    <t>POST /api/payments với header Authorization của PHUC_VU; body hợp lệ tùy ý</t>
  </si>
  <si>
    <t>HTTP 403, maLoi=KHONG_CO_QUYEN. Không có dữ liệu nào bị thay đổi.</t>
  </si>
  <si>
    <t>Chưa rõ CHU_QUAN có được gọi API gọi món/thanh toán không [X11].</t>
  </si>
  <si>
    <t>TC-01-01</t>
  </si>
  <si>
    <t>Tạo order và gửi bếp thành công</t>
  </si>
  <si>
    <t>SD Tạo order (msg 2–25); api-contract §3 UC01 (POST /orders); UC01 main flow</t>
  </si>
  <si>
    <t>Đã nạp lại schema.sql rồi seed.sql; đã đăng nhập phucvu01. ban-01 (B01) đang TRONG.</t>
  </si>
  <si>
    <t>banId = ban-01 (B01)
mon-02 (Cà phê sữa) x2, ghi chú "ít đá"
mon-04 (Trà đào) x1</t>
  </si>
  <si>
    <t>HTTP 201, success=true. data: trangThai=DANG_PHUC_VU; tongTien = 2×30.000 + 40.000 = 100.000; isSynced=true; mỗi món có chiTietId, donGia đúng, trangThaiCheBien=CHO_PHA_CHE; ghi chú "ít đá" được lưu.
Bàn chuyển DANG_PHUC_VU. CSDL có 1 don_hang và 2 chi_tiet_don tương ứng.</t>
  </si>
  <si>
    <t>TC-01-02</t>
  </si>
  <si>
    <t>Số lượng = 1 (biên dưới hợp lệ)</t>
  </si>
  <si>
    <t>BVA (biên dưới = 1)</t>
  </si>
  <si>
    <t>SD Tạo order (msg 2–25); api-contract §3 UC01 (POST /orders); BPC T3 (số lượng 1–99)</t>
  </si>
  <si>
    <t>banId = ban-01 (B01); mon-02 (Cà phê sữa) soLuong = 1</t>
  </si>
  <si>
    <t>HTTP 201; chi tiết món soLuong=1; tongTien = 30.000; bàn chuyển DANG_PHUC_VU.</t>
  </si>
  <si>
    <t>TC-01-03</t>
  </si>
  <si>
    <t>Số lượng = 99 (biên trên hợp lệ)</t>
  </si>
  <si>
    <t>BVA (biên trên = 99)</t>
  </si>
  <si>
    <t>banId = ban-01 (B01); mon-02 (Cà phê sữa) soLuong = 99</t>
  </si>
  <si>
    <t>HTTP 201; soLuong=99; tongTien = 99×30.000 = 2.970.000; bàn chuyển DANG_PHUC_VU.</t>
  </si>
  <si>
    <t>TC-01-04</t>
  </si>
  <si>
    <t>Số lượng = 0</t>
  </si>
  <si>
    <t>EP (invalid class: số lượng &lt; 1)</t>
  </si>
  <si>
    <t>SD Tạo order (msg 2–25); api-contract §3 UC01 (POST /orders); mã lỗi SO_LUONG_KHONG_HOP_LE</t>
  </si>
  <si>
    <t>banId = ban-01 (B01); mon-02 (Cà phê sữa) soLuong = 0</t>
  </si>
  <si>
    <t>Giao diện không cho gửi hoặc báo lỗi số lượng.
API: HTTP 400, maLoi=SO_LUONG_KHONG_HOP_LE. Không tạo don_hang; bàn vẫn TRONG.</t>
  </si>
  <si>
    <t>TC-01-05</t>
  </si>
  <si>
    <t>Số lượng âm (-1)</t>
  </si>
  <si>
    <t>EP (invalid class: số lượng âm)</t>
  </si>
  <si>
    <t>banId = ban-01 (B01); mon-02 (Cà phê sữa) soLuong = -1</t>
  </si>
  <si>
    <t>Giao diện không cho gửi hoặc báo lỗi.
API: HTTP 400, maLoi=SO_LUONG_KHONG_HOP_LE. Không tạo don_hang; bàn vẫn TRONG.</t>
  </si>
  <si>
    <t>TC-01-06</t>
  </si>
  <si>
    <t>Số lượng = 100 (vượt biên trên), kiểm tra ở server</t>
  </si>
  <si>
    <t>BVA (ngay trên biên 99)</t>
  </si>
  <si>
    <t>SD Tạo order (msg 2–25); api-contract §3 UC01 (POST /orders); BPC T3 (từ chối ở server, không chỉ giao diện)</t>
  </si>
  <si>
    <t>banId = ban-01 (B01); mon-02 (Cà phê sữa) soLuong = 100</t>
  </si>
  <si>
    <t>API: HTTP 400, maLoi=SO_LUONG_KHONG_HOP_LE. Không tạo don_hang; bàn vẫn TRONG.</t>
  </si>
  <si>
    <t>TC-01-07</t>
  </si>
  <si>
    <t>Gọi món đã hết nguyên liệu (TAM_HET)</t>
  </si>
  <si>
    <t>Black-box theo UC Spec (EF: món hết nguyên liệu)</t>
  </si>
  <si>
    <t>SD Tạo order (msg 2–25); api-contract §3 UC01 (POST /orders); BPC T3, H3</t>
  </si>
  <si>
    <t>Đã nạp lại schema.sql rồi seed.sql; đã đăng nhập phucvu01. ban-01 (B01) đang TRONG; mon-03 (Bạc xỉu) ở trạng thái TAM_HET.</t>
  </si>
  <si>
    <t>banId = ban-01 (B01); mon-03 (Bạc xỉu) soLuong = 1</t>
  </si>
  <si>
    <t>Giao diện: món hiện xám, không chọn được.
API: HTTP 409, maLoi=MON_TAM_HET, message dạng "Món … đã hết nguyên liệu" (có tên món). Không tạo đơn; bàn vẫn TRONG.</t>
  </si>
  <si>
    <t>Cần món TAM_HET trong seed [X05].</t>
  </si>
  <si>
    <t>TC-01-08</t>
  </si>
  <si>
    <t>Gọi món ở bàn đang CAN_DON</t>
  </si>
  <si>
    <t>Black-box theo UC Spec (EF: bàn không hợp lệ)</t>
  </si>
  <si>
    <t>Đã nạp lại schema.sql rồi seed.sql; đã đăng nhập phucvu01. ban-05 (B05) đang CAN_DON.</t>
  </si>
  <si>
    <t>banId = ban-05 (B05); mon-02 (Cà phê sữa) soLuong = 1</t>
  </si>
  <si>
    <t>Giao diện: bàn CAN_DON không bấm gọi món được.
API: HTTP 409, maLoi=BAN_CAN_DON. Không tạo đơn; trạng thái bàn giữ nguyên.</t>
  </si>
  <si>
    <t>TC-01-09</t>
  </si>
  <si>
    <t>Tạo order mới cho bàn đang có đơn</t>
  </si>
  <si>
    <t>Black-box theo UC Spec (đề xuất contract §4)</t>
  </si>
  <si>
    <t>api-contract §4 điểm 1 (BAN_DA_CO_DON)</t>
  </si>
  <si>
    <t>Đã nạp lại schema.sql rồi seed.sql; đã đăng nhập phucvu01. ban-03 (B03) đang DANG_PHUC_VU và đã có đơn dh-001.</t>
  </si>
  <si>
    <t>banId = ban-03 (B03); mon-02 (Cà phê sữa) soLuong = 1</t>
  </si>
  <si>
    <t>HTTP 409, maLoi=BAN_DA_CO_DON. Không tạo đơn thứ hai; số don_hang của bàn vẫn là 1.</t>
  </si>
  <si>
    <t>Đề xuất của Tuấn trong contract, chưa chốt [X01]. Nếu chốt khác thì sửa Expected.</t>
  </si>
  <si>
    <t>Gửi order khi giỏ hàng rỗng</t>
  </si>
  <si>
    <t>EP (invalid class: danh sách món rỗng)</t>
  </si>
  <si>
    <t>SD Tạo order (msg 2–25); api-contract §3 UC01 (POST /orders); mã lỗi DS_MON_RONG</t>
  </si>
  <si>
    <t>banId = ban-01 (B01); dsMon = []</t>
  </si>
  <si>
    <t>HTTP 400, maLoi=DS_MON_RONG. Không tạo đơn; bàn vẫn TRONG.</t>
  </si>
  <si>
    <t>TC-04-01</t>
  </si>
  <si>
    <t>Gọi thêm món vào đơn đang phục vụ</t>
  </si>
  <si>
    <t>CD_CapNhat (themMon/suaMon/huyMon); api-contract §3 UC04 (POST /orders/:id/items)</t>
  </si>
  <si>
    <t>Đã nạp lại schema.sql rồi seed.sql; đã đăng nhập phucvu01; đơn dh-001 của ban-03 (B03) đang DANG_PHUC_VU, tổng 85.000: ct-001 (Cà phê sữa x2, DANG_LAM), ct-002 (Cà phê đen x1, CHO_PHA_CHE). Tổng tiền hiện tại = 85.000.</t>
  </si>
  <si>
    <t>mon-04 (Trà đào) x1, ghi chú "không đường"</t>
  </si>
  <si>
    <t>HTTP 200. dsMon gồm các món cũ (giữ nguyên trạng thái) và 1 món mới CHO_PHA_CHE; tongTien = 85.000 + 40.000 = 125.000.
Chỉ món mới được gửi xuống bếp (bếp không có bản sao của món cũ).</t>
  </si>
  <si>
    <t>TC-04-02</t>
  </si>
  <si>
    <t>Sửa số lượng món đang CHO_PHA_CHE</t>
  </si>
  <si>
    <t>CD_CapNhat (themMon/suaMon/huyMon); api-contract §3 UC04 (PATCH /orders/:id/items/:chiTietId)</t>
  </si>
  <si>
    <t>Đã nạp lại schema.sql rồi seed.sql; đã đăng nhập phucvu01; đơn dh-001 của ban-03 (B03) đang DANG_PHUC_VU, tổng 85.000: ct-001 (Cà phê sữa x2, DANG_LAM), ct-002 (Cà phê đen x1, CHO_PHA_CHE).</t>
  </si>
  <si>
    <t>ct-002 (Cà phê đen): số lượng 1 → 3</t>
  </si>
  <si>
    <t>HTTP 200. soLuong=3; tongTien = 85.000 + 2×25.000 = 135.000; món vẫn CHO_PHA_CHE.</t>
  </si>
  <si>
    <t>TC-04-03</t>
  </si>
  <si>
    <t>Hủy món đang CHO_PHA_CHE</t>
  </si>
  <si>
    <t>CD_CapNhat (themMon/suaMon/huyMon); api-contract §3 UC04 (DELETE /orders/:id/items/:chiTietId)</t>
  </si>
  <si>
    <t>ct-002</t>
  </si>
  <si>
    <t>HTTP 200. ct-002 chuyển DA_HUY; tongTien = 85.000 − 25.000 = 60.000 (món hủy không tính); món không còn hiện trên màn Bếp.</t>
  </si>
  <si>
    <t>TC-04-04</t>
  </si>
  <si>
    <t>Sửa số lượng = 1 (biên dưới hợp lệ)</t>
  </si>
  <si>
    <t>CD_CapNhat (themMon/suaMon/huyMon); api-contract §3 UC04; BPC T4</t>
  </si>
  <si>
    <t>ct-002: sửa 1 → 2 (chuẩn bị), sau đó 2 → 1</t>
  </si>
  <si>
    <t>Sau bước 3: HTTP 200; soLuong=1; tongTien = 85.000.</t>
  </si>
  <si>
    <t>TC-04-05</t>
  </si>
  <si>
    <t>Sửa số lượng = 99 (biên trên hợp lệ)</t>
  </si>
  <si>
    <t>ct-002: số lượng → 99</t>
  </si>
  <si>
    <t>HTTP 200. soLuong=99; tongTien = 60.000 + 99×25.000 = 2.535.000.</t>
  </si>
  <si>
    <t>TC-04-06</t>
  </si>
  <si>
    <t>Sửa số lượng = 0</t>
  </si>
  <si>
    <t>CD_CapNhat (themMon/suaMon/huyMon); api-contract §3 UC04; mã lỗi SO_LUONG_KHONG_HOP_LE</t>
  </si>
  <si>
    <t>ct-002: soLuong = 0</t>
  </si>
  <si>
    <t>API: HTTP 400, maLoi=SO_LUONG_KHONG_HOP_LE. Số lượng và tongTien không đổi.</t>
  </si>
  <si>
    <t>TC-04-07</t>
  </si>
  <si>
    <t>Sửa số lượng = 100 (vượt biên trên)</t>
  </si>
  <si>
    <t>ct-002: soLuong = 100</t>
  </si>
  <si>
    <t>HTTP 400, maLoi=SO_LUONG_KHONG_HOP_LE. Số lượng và tongTien không đổi.</t>
  </si>
  <si>
    <t>TC-04-08</t>
  </si>
  <si>
    <t>Hủy món đang DANG_LAM bị chặn</t>
  </si>
  <si>
    <t>Black-box theo UC Spec (EF: món đã chế biến)</t>
  </si>
  <si>
    <t>CD_CapNhat (themMon/suaMon/huyMon); api-contract §3 UC04; BPC T4, H3 (ẩn nút hủy)</t>
  </si>
  <si>
    <t>Đã nạp lại schema.sql rồi seed.sql; đã đăng nhập phucvu01; đơn dh-001 của ban-03 (B03) đang DANG_PHUC_VU, tổng 85.000: ct-001 (Cà phê sữa x2, DANG_LAM), ct-002 (Cà phê đen x1, CHO_PHA_CHE). ct-001 đang DANG_LAM.</t>
  </si>
  <si>
    <t>ct-001</t>
  </si>
  <si>
    <t>Giao diện ẩn nút "Hủy" với món DANG_LAM.
API: HTTP 409, maLoi=MON_DA_CHE_BIEN, message rõ ràng. Món vẫn DANG_LAM; tongTien không đổi.</t>
  </si>
  <si>
    <t>[X05]</t>
  </si>
  <si>
    <t>TC-04-09</t>
  </si>
  <si>
    <t>Sửa số lượng món đang DANG_LAM bị chặn</t>
  </si>
  <si>
    <t>ct-001: soLuong = 2</t>
  </si>
  <si>
    <t>HTTP 409, maLoi=MON_DA_CHE_BIEN. Số lượng và tongTien không đổi.</t>
  </si>
  <si>
    <t>TC-04-10</t>
  </si>
  <si>
    <t>Sửa và hủy món đã DA_XONG bị chặn</t>
  </si>
  <si>
    <t>Đã nạp lại schema.sql rồi seed.sql; đã đăng nhập phucvu01; đơn dh-002 của ban-04 (B04) đang HOAN_THANH, gồm ct-003 (Cà phê sữa x2) và ct-004 (Trà đào x1) đều DA_XONG.</t>
  </si>
  <si>
    <t>ct-003 (thuộc dh-002)</t>
  </si>
  <si>
    <t>Cả hai: HTTP 409, maLoi=MON_DA_CHE_BIEN. Món vẫn DA_XONG; tongTien không đổi.</t>
  </si>
  <si>
    <t>TC-04-11</t>
  </si>
  <si>
    <t>Gọi thêm món đã hết nguyên liệu</t>
  </si>
  <si>
    <t>CD_CapNhat (themMon/suaMon/huyMon); api-contract §3 UC04 (MON_TAM_HET như UC01)</t>
  </si>
  <si>
    <t>Đã nạp lại schema.sql rồi seed.sql; đã đăng nhập phucvu01; đơn dh-001 của ban-03 (B03) đang DANG_PHUC_VU, tổng 85.000: ct-001 (Cà phê sữa x2, DANG_LAM), ct-002 (Cà phê đen x1, CHO_PHA_CHE). mon-03 (Bạc xỉu) ở trạng thái TAM_HET.</t>
  </si>
  <si>
    <t>mon-03 (Bạc xỉu) x1</t>
  </si>
  <si>
    <t>Giao diện: món hiện xám, không chọn được.
API: HTTP 409, maLoi=MON_TAM_HET. Đơn không thay đổi.</t>
  </si>
  <si>
    <t>TC-04-12</t>
  </si>
  <si>
    <t>Cập nhật đơn đã thanh toán bị chặn</t>
  </si>
  <si>
    <t>Black-box theo UC Spec (EF: đơn đã thanh toán)</t>
  </si>
  <si>
    <t>CD_CapNhat (themMon/suaMon/huyMon); api-contract §3 UC04; mã lỗi DON_DA_THANH_TOAN</t>
  </si>
  <si>
    <t>Đã nạp lại schema.sql rồi seed.sql; đã đăng nhập phucvu01; dh-003 đã thanh toán.</t>
  </si>
  <si>
    <t>dh-003; mon-02 (Cà phê sữa) x1; chiTietId ct-005</t>
  </si>
  <si>
    <t>Cả ba: HTTP 409, maLoi=DON_DA_THANH_TOAN. Đơn không thay đổi.</t>
  </si>
  <si>
    <t>TC-10-01</t>
  </si>
  <si>
    <t>Thanh toán tiền mặt, khách đưa dư tiền (UC10.1)</t>
  </si>
  <si>
    <t>SD_ThanhToan; api-contract §3 UC10 (POST /payments); UC10.1</t>
  </si>
  <si>
    <t>Đã đăng nhập thungan01; đơn dh-002 (ban-04/B04, HOAN_THANH, tổng 100.000, mọi món DA_XONG) chưa thanh toán (vừa nạp lại DB).</t>
  </si>
  <si>
    <t>donHangId = dh-002; phuongThuc = TIEN_MAT; tienKhachDua = 100.000 + 10.000 = 110.000; maGiaoDich mới</t>
  </si>
  <si>
    <t>HTTP 200; thanhCong=true; soTienThanhToan=100.000; tienThoi=10.000; trangThaiDon=DA_THANH_TOAN; trangThaiBan=CAN_DON; daXuLyTruoc=false.
CSDL: don_hang DA_THANH_TOAN, ban CAN_DON, đúng 1 bản ghi thanh_toan.
Giao diện: đóng popup, hiện toast thành công.</t>
  </si>
  <si>
    <t>Nạp lại schema.sql + seed.sql trước TC này (đơn dh-002 chỉ thanh toán được một lần).</t>
  </si>
  <si>
    <t>TC-10-02</t>
  </si>
  <si>
    <t>Tiền khách đưa đúng bằng số cần trả (tiền thối 0)</t>
  </si>
  <si>
    <t>BVA (tienKhachDua = số cần trả)</t>
  </si>
  <si>
    <t>SD_ThanhToan; api-contract §3 UC10 (POST /payments); BPC T6 (tinhTienThoi)</t>
  </si>
  <si>
    <t>HTTP 200; thanhCong=true; tienThoi=0; trangThaiDon=DA_THANH_TOAN; trangThaiBan=CAN_DON.</t>
  </si>
  <si>
    <t>TC-10-03</t>
  </si>
  <si>
    <t>Tiền khách đưa thiếu 1.000đ</t>
  </si>
  <si>
    <t>BVA (ngay dưới biên: số cần trả − 1.000)</t>
  </si>
  <si>
    <t>SD_ThanhToan; api-contract §3 UC10 (POST /payments); mã lỗi TIEN_KHONG_DU</t>
  </si>
  <si>
    <t>phuongThuc = TIEN_MAT; tienKhachDua = 100.000 − 1.000 = 99.000; maGiaoDich mới</t>
  </si>
  <si>
    <t>HTTP 400, maLoi=TIEN_KHONG_DU, thông báo "Số tiền khách đưa chưa đủ" hiện dưới ô nhập.
Đơn vẫn DANG_PHUC_VU; bàn không đổi; không có bản ghi thanh_toan mới.</t>
  </si>
  <si>
    <t>TC-10-04</t>
  </si>
  <si>
    <t>Tiền mặt nhưng thiếu tienKhachDua</t>
  </si>
  <si>
    <t>EP (invalid class: thiếu trường bắt buộc)</t>
  </si>
  <si>
    <t>SD_ThanhToan; api-contract §3 UC10 (POST /payments) (tienKhachDua bắt buộc khi TIEN_MAT)</t>
  </si>
  <si>
    <t>phuongThuc = TIEN_MAT; không có tienKhachDua; maGiaoDich mới</t>
  </si>
  <si>
    <t>HTTP 400, maLoi=DU_LIEU_KHONG_HOP_LE. Không ghi dữ liệu nào.</t>
  </si>
  <si>
    <t>Mã lỗi là giả định [X10].</t>
  </si>
  <si>
    <t>TC-10-05</t>
  </si>
  <si>
    <t>Phương thức thanh toán không hợp lệ</t>
  </si>
  <si>
    <t>EP (invalid class: phuongThuc ngoài tập cho phép)</t>
  </si>
  <si>
    <t>SD_ThanhToan; api-contract §3 UC10 (POST /payments); mã lỗi PHUONG_THUC_KHONG_HOP_LE</t>
  </si>
  <si>
    <t>phuongThuc = "THE_TIN_DUNG"; maGiaoDich mới</t>
  </si>
  <si>
    <t>HTTP 400, maLoi=PHUONG_THUC_KHONG_HOP_LE. Không ghi dữ liệu nào.</t>
  </si>
  <si>
    <t>TC-10-06</t>
  </si>
  <si>
    <t>Thanh toán QR giả lập (UC10.2)</t>
  </si>
  <si>
    <t>Functional (UC10.2)</t>
  </si>
  <si>
    <t>SD_ThanhToan; api-contract §3 UC10 (POST /payments); UC10.2</t>
  </si>
  <si>
    <t>donHangId = dh-002; phuongThuc = QR; không gửi tienKhachDua; maGiaoDich mới</t>
  </si>
  <si>
    <t>HTTP 200; thanhCong=true; phuongThuc=QR; trả về maGiaoDich; soTienThanhToan=100.000; trangThaiDon=DA_THANH_TOAN; trangThaiBan=CAN_DON. Không yêu cầu nhập tiền khách đưa.</t>
  </si>
  <si>
    <t>Giá trị tienThoi với QR (0 hay null) chưa rõ [X10]. Nạp lại schema.sql + seed.sql trước TC này (đơn dh-002 chỉ thanh toán được một lần).</t>
  </si>
  <si>
    <t>TC-10-07</t>
  </si>
  <si>
    <t>Thanh toán đơn đã thanh toán (mã giao dịch khác)</t>
  </si>
  <si>
    <t>SD_ThanhToan; api-contract §3 UC10 (POST /payments); mã lỗi DON_DA_THANH_TOAN</t>
  </si>
  <si>
    <t>Đã đăng nhập thungan01; dh-003 đã thanh toán.</t>
  </si>
  <si>
    <t>donHangId = dh-003; phuongThuc = TIEN_MAT; tienKhachDua đủ; maGiaoDich mới (mã đã dùng trong seed: GD-20261008-001)</t>
  </si>
  <si>
    <t>HTTP 409, maLoi=DON_DA_THANH_TOAN. Không thêm bản ghi thanh_toan; đơn và bàn giữ nguyên.</t>
  </si>
  <si>
    <t>Lỗi giữa chừng: rollback cả 3 thao tác ghi</t>
  </si>
  <si>
    <t>Black-box theo UC Spec (EF: lỗi hệ thống)</t>
  </si>
  <si>
    <t>SD_ThanhToan; api-contract §3 UC10 (POST /payments); BPC T6 (3 thao tác ghi trong 1 transaction)</t>
  </si>
  <si>
    <t>Đã đăng nhập thungan01; đơn dh-002 (ban-04/B04, HOAN_THANH, tổng 100.000, mọi món DA_XONG) chưa thanh toán (vừa nạp lại DB). Có cách ép một trong 3 thao tác ghi bị lỗi (cách làm do Tuấn xác nhận).</t>
  </si>
  <si>
    <t>donHangId = dh-002; phuongThuc = TIEN_MAT; tienKhachDua = 100.000</t>
  </si>
  <si>
    <t>API trả lỗi (giả định HTTP 500, maLoi=LOI_HE_THONG).
Rollback toàn bộ: không có bản ghi thanh_toan mới; đơn vẫn DANG_PHUC_VU; bàn vẫn DANG_PHUC_VU (không có dữ liệu nửa vời).</t>
  </si>
  <si>
    <t>Cách ép lỗi [X07]. Nạp lại schema.sql + seed.sql trước TC này (đơn dh-002 chỉ thanh toán được một lần).</t>
  </si>
  <si>
    <t>Nút "Xác nhận" bị khóa khi đang xử lý (chống bấm 2 lần)</t>
  </si>
  <si>
    <t>Phi chức năng</t>
  </si>
  <si>
    <t>UI: chống thao tác trùng</t>
  </si>
  <si>
    <t>BPC H4 (khóa nút khi đang xử lý; maGiaoDich tạo 1 lần mỗi lượt)</t>
  </si>
  <si>
    <t>phuongThuc = TIEN_MAT; tienKhachDua = 100.000</t>
  </si>
  <si>
    <t>Nút bị khóa ngay khi đang xử lý; chỉ 1 request POST /api/payments được gửi (nếu có 2 thì cùng maGiaoDich).
CSDL chỉ có 1 bản ghi thanh_toan. Popup đóng, giỏ được xóa, hiện toast thành công.</t>
  </si>
  <si>
    <t>Tên nút theo giao diện của Hậu, cập nhật khi nhận bản 07/10 [X14]. Nạp lại schema.sql + seed.sql trước TC này (đơn dh-002 chỉ thanh toán được một lần).</t>
  </si>
  <si>
    <t>TC-15-01</t>
  </si>
  <si>
    <t>Hiển thị đúng thứ tự FIFO</t>
  </si>
  <si>
    <t>Functional</t>
  </si>
  <si>
    <t>UC15 main flow</t>
  </si>
  <si>
    <t>Đã chạy reset_db</t>
  </si>
  <si>
    <t>3 Order gửi cách nhau 1 phút</t>
  </si>
  <si>
    <t>HTTP 200. Màn hình KDS hiển thị 3 thẻ Order xếp đúng thứ tự FIFO (Order A trên cùng).</t>
  </si>
  <si>
    <t>TC-15-02</t>
  </si>
  <si>
    <t>Hiển thị trạng thái màn hình rỗng</t>
  </si>
  <si>
    <t>UC15 alt flow</t>
  </si>
  <si>
    <t>Quán chưa có order nào</t>
  </si>
  <si>
    <t>N/A</t>
  </si>
  <si>
    <t>HTTP 200. Danh sách rỗng, giao diện hiện trạng thái "Chưa có order".</t>
  </si>
  <si>
    <t>TC-15-03</t>
  </si>
  <si>
    <t>Hiển thị ghi chú đặc biệt</t>
  </si>
  <si>
    <t>Phục vụ gửi order có ghi chú</t>
  </si>
  <si>
    <t>"Ít đá, không đường"</t>
  </si>
  <si>
    <t>HTTP 200. Ghi chú "Ít đá, không đường" được in đậm/nổi bật trên thẻ tương ứng.</t>
  </si>
  <si>
    <t>TC-15-04</t>
  </si>
  <si>
    <t>Màn hình KDS tự động làm mới</t>
  </si>
  <si>
    <t>NFR: Realtime</t>
  </si>
  <si>
    <t>Màn hình KDS đang mở</t>
  </si>
  <si>
    <t>KDS tự động fetch API (mỗi 3s) và hiển thị Order mới không cần tải lại trang F5.</t>
  </si>
  <si>
    <t>TC-15-05</t>
  </si>
  <si>
    <t>Cảnh báo khi mất kết nối mạng</t>
  </si>
  <si>
    <t>Error Guessing</t>
  </si>
  <si>
    <t>NFR: Resilience</t>
  </si>
  <si>
    <t>KDS đang mở</t>
  </si>
  <si>
    <t>Ngắt mạng</t>
  </si>
  <si>
    <t>Giao diện hiện toast thông báo "Mất kết nối".</t>
  </si>
  <si>
    <t>TC-16-01</t>
  </si>
  <si>
    <t>Chuyển trạng thái món hợp lệ</t>
  </si>
  <si>
    <t>UC16 main flow</t>
  </si>
  <si>
    <t>KDS có Order chờ ở CHO_PHA_CHE</t>
  </si>
  <si>
    <t>HTTP 200. Trạng thái món chuyển đổi thành công trên giao diện và CSDL sau mỗi lần bấm.</t>
  </si>
  <si>
    <t>TC-16-02</t>
  </si>
  <si>
    <t>Tự động hoàn thành Order</t>
  </si>
  <si>
    <t>Order có nhiều món, các món khác đã DA_XONG</t>
  </si>
  <si>
    <t>HTTP 200. Trạng thái của toàn bộ Đơn hàng tự động chuyển từ DANG_PHUC_VU sang HOAN_THANH.</t>
  </si>
  <si>
    <t>TC-16-03</t>
  </si>
  <si>
    <t>Nhảy cóc trạng thái trái phép</t>
  </si>
  <si>
    <t>UC16 exception</t>
  </si>
  <si>
    <t>Món đang ở CHO_PHA_CHE</t>
  </si>
  <si>
    <t>HTTP 400, maloi=TRANG_THAI_KHONG_HOP_LE. Hệ thống chặn thao tác.</t>
  </si>
  <si>
    <t>TC-16-04</t>
  </si>
  <si>
    <t>Lùi trạng thái trái phép</t>
  </si>
  <si>
    <t>Món đang ở DA_XONG</t>
  </si>
  <si>
    <t>HTTP 400. API từ chối cập nhật lùi trái phép.</t>
  </si>
  <si>
    <t>Có thể dùng Postman ép lỗi.</t>
  </si>
  <si>
    <t>TC-16-05</t>
  </si>
  <si>
    <t>Thao tác trên món đã bị hủy</t>
  </si>
  <si>
    <t>Order có món bị hủy (DA_HUY)</t>
  </si>
  <si>
    <t>Giao diện: nút bị khóa. Nếu gọi API thẳng sẽ trả HTTP 400.</t>
  </si>
  <si>
    <t>TC-16-06</t>
  </si>
  <si>
    <t>Hoàn tác trạng thái món</t>
  </si>
  <si>
    <t>UC16 alt flow</t>
  </si>
  <si>
    <t>Món vừa chuyển sang DANG_LAM</t>
  </si>
  <si>
    <t>HTTP 200. Trạng thái lùi đúng 1 bước về lại CHO_PHA_CHE.</t>
  </si>
  <si>
    <t>TC-18-01</t>
  </si>
  <si>
    <t>Cập nhật tồn kho bình thường</t>
  </si>
  <si>
    <t>UC18 main flow</t>
  </si>
  <si>
    <t>Tồn kho = 10</t>
  </si>
  <si>
    <t>HTTP 200. Hệ thống lưu thành công, món ăn liên quan hiển thị trạng thái đang bán bình thường.</t>
  </si>
  <si>
    <t>TC-18-02</t>
  </si>
  <si>
    <t>Khóa món tự động khi tồn kho = 0</t>
  </si>
  <si>
    <t>BVA</t>
  </si>
  <si>
    <t>Tồn kho = 0</t>
  </si>
  <si>
    <t>HTTP 200. Các món sử dụng Cà phê tự động khóa (chuyển sang TAM_HET), giao diện chuyển xám.</t>
  </si>
  <si>
    <t>Giá trị biên 0.</t>
  </si>
  <si>
    <t>TC-18-03</t>
  </si>
  <si>
    <t>Nhập tồn kho là số âm</t>
  </si>
  <si>
    <t>UC18 exception</t>
  </si>
  <si>
    <t>Tồn kho = -5</t>
  </si>
  <si>
    <t>HTTP 400, maloi=SO_LUONG_KHONG_HOP_LE. Hệ thống chặn cập nhật, thông báo lỗi không được nhập số âm.</t>
  </si>
  <si>
    <t>TC-18-04</t>
  </si>
  <si>
    <t>Bỏ trống ô nhập tồn kho</t>
  </si>
  <si>
    <t>EP</t>
  </si>
  <si>
    <t>Tồn kho = rỗng</t>
  </si>
  <si>
    <t>HTTP 400, maloi=THIEU_THONG_TIN. Hệ thống báo lỗi yêu cầu nhập dữ liệu hợp lệ.</t>
  </si>
  <si>
    <t>TC-18-05</t>
  </si>
  <si>
    <t>Mở bán lại khi nhập thêm hàng</t>
  </si>
  <si>
    <t>UC18 alt flow</t>
  </si>
  <si>
    <t>Món Cà phê đang bị khóa (TAM_HET)</t>
  </si>
  <si>
    <t>Tồn kho = 50</t>
  </si>
  <si>
    <t>HTTP 200. Tồn kho cập nhật, món Cà phê tự động mở bán trở lại.</t>
  </si>
  <si>
    <t>Kiểm tra logic nối với màn gọi món.</t>
  </si>
  <si>
    <t>TC-08-01</t>
  </si>
  <si>
    <t>Lập hóa đơn bình thường</t>
  </si>
  <si>
    <t>UC08 main flow</t>
  </si>
  <si>
    <t>Bàn 01 có đơn, các món đã gửi bếp</t>
  </si>
  <si>
    <t>Bàn = 01</t>
  </si>
  <si>
    <t>HTTP 200. Trả về HoaDonDTO: ds món, tổng tiền, giảm giá=0, cần thanh toán=tổng tiền.</t>
  </si>
  <si>
    <t>TC-08-02</t>
  </si>
  <si>
    <t>Lập hóa đơn cho bàn trống</t>
  </si>
  <si>
    <t>UC08 exception</t>
  </si>
  <si>
    <t>Bàn 02 chưa có khách (TRONG)</t>
  </si>
  <si>
    <t>Bàn = 02</t>
  </si>
  <si>
    <t>HTTP 400, maloi=BAN_KHONG_CO_DON. Hệ thống chặn.</t>
  </si>
  <si>
    <t>TC-08-03</t>
  </si>
  <si>
    <t>Lập hóa đơn khi có món chưa gửi</t>
  </si>
  <si>
    <t>Bàn 03 có món vừa chọn nhưng CHƯA gửi bếp</t>
  </si>
  <si>
    <t>Bàn = 03</t>
  </si>
  <si>
    <t>HTTP 400, maloi=DON_CHUA_GUI_BEP.</t>
  </si>
  <si>
    <t>TC-08-04</t>
  </si>
  <si>
    <t>Lập hóa đơn có mã giảm giá</t>
  </si>
  <si>
    <t>UC08 alt flow</t>
  </si>
  <si>
    <t>Đơn hàng áp dụng khuyến mãi 10%</t>
  </si>
  <si>
    <t>giamGia=10</t>
  </si>
  <si>
    <t>HTTP 200. HoaDonDTO tính chính xác: Cần thanh toán = Tổng tiền - Giảm giá.</t>
  </si>
  <si>
    <t>TC-08-05</t>
  </si>
  <si>
    <t>Lập hóa đơn giá trị cực lớn</t>
  </si>
  <si>
    <t>UC08 boundary</t>
  </si>
  <si>
    <t>Bàn VIP gọi nhiều món</t>
  </si>
  <si>
    <t>Tổng &gt; 10 triệu</t>
  </si>
  <si>
    <t>HTTP 200. Giao diện hiển thị không bị tràn, định dạng đúng tiền tệ (VNĐ).</t>
  </si>
  <si>
    <t>TC-08-06</t>
  </si>
  <si>
    <t>Hiển thị Popup xác nhận thanh toán</t>
  </si>
  <si>
    <t>Đang xem hóa đơn hợp lệ</t>
  </si>
  <si>
    <t>Popup thanh toán hiện ra với đúng tổng tiền cần thu từ HoaDonDTO.</t>
  </si>
  <si>
    <t>Bug ID</t>
  </si>
  <si>
    <t>Related TC</t>
  </si>
  <si>
    <t>Mô tả lỗi</t>
  </si>
  <si>
    <t>Bước tái hiện</t>
  </si>
  <si>
    <t>Kết quả thực tế</t>
  </si>
  <si>
    <t>Kết quả mong đợi</t>
  </si>
  <si>
    <t>Mức độ nghiêm trọng</t>
  </si>
  <si>
    <t>Người sửa</t>
  </si>
  <si>
    <t>Trạng thái</t>
  </si>
  <si>
    <t>Kết quả retest</t>
  </si>
  <si>
    <t>High</t>
  </si>
  <si>
    <t>TỔNG HỢP KẾT QUẢ KIỂM THỬ</t>
  </si>
  <si>
    <t>Người test</t>
  </si>
  <si>
    <t>Tổng TC</t>
  </si>
  <si>
    <t>Đã chạy</t>
  </si>
  <si>
    <t>PASS</t>
  </si>
  <si>
    <t>FAIL</t>
  </si>
  <si>
    <t>Tỉ lệ pass (%)</t>
  </si>
  <si>
    <t>Số bug</t>
  </si>
  <si>
    <t>TỔNG</t>
  </si>
  <si>
    <t>Toàn nhóm (8 UC)</t>
  </si>
  <si>
    <t>1. Theo loại test case</t>
  </si>
  <si>
    <t>2. Bug theo mức độ nghiêm trọng</t>
  </si>
  <si>
    <t>Mức độ</t>
  </si>
  <si>
    <t>Đã sửa</t>
  </si>
  <si>
    <t>Chưa sửa</t>
  </si>
  <si>
    <t>Critical</t>
  </si>
  <si>
    <t>Medium</t>
  </si>
  <si>
    <t>Low</t>
  </si>
  <si>
    <t>3. Khung báo cáo kết quả (mẫu C6-D2), điền ở K4 trước 21:00 09/10</t>
  </si>
  <si>
    <t>Tổng hợp số liệu</t>
  </si>
  <si>
    <t>Lỗi nghiêm trọng nhất</t>
  </si>
  <si>
    <t>Phân tích nguyên nhân</t>
  </si>
  <si>
    <t>Hướng sửa (method / file)</t>
  </si>
  <si>
    <t>Nhận xét về độ bao phủ</t>
  </si>
  <si>
    <t>Http: 200, success = True,  data trả về có token, nhanvienID='nv-001', hoTen="Nguyễn Văn Phục Vụ"vaiTro="PHUC_VU", trangChu="/tables.html". Giao diện chuyển hướng thành công sang màn Sơ đồ bàn</t>
  </si>
  <si>
    <t>Pass</t>
  </si>
  <si>
    <t>KQ-test\TC-21-01.png</t>
  </si>
  <si>
    <t>Đăng nhập thành công cả 3 tài khoản và đã điều hướng đúng màn hình của từng tài khoản</t>
  </si>
  <si>
    <t>KQ-test\TC-21-02.pdf</t>
  </si>
  <si>
    <t>KQ-test\TC-21-03.png</t>
  </si>
  <si>
    <t>success: false, "data": null, "maLoi": "SAI_THONG_TIN", "message": "Sai tên đăng nhập hoặc mật khẩu" } ở lại trang đăng nhập, solansai có tăng lên 1 và khi đăng nhập đúng thì solansai về lại 0</t>
  </si>
  <si>
    <t>Lỗi hiện ngay dưới ô còn thiếu; không đăng nhập.</t>
  </si>
  <si>
    <t>KQ-test\TC-21-05.png</t>
  </si>
  <si>
    <t>hiển thị lỗi màu đỏ trực tiếp dưới ô input ("Vui lòng nhập tên đăng nhập" / "Vui lòng nhập mật khẩu"), và không tính số lần sai</t>
  </si>
  <si>
    <t>KQ-test\TC-21-06.png</t>
  </si>
  <si>
    <t>4 lần đầu đăng nhập sai vẫn chưa bị khóa đến lần 5 đăng nhập đúng vào đúng màn hình. Và solansai cũng về 0.</t>
  </si>
  <si>
    <t>sai lần thứ 5 tài khoản đã bị khóa với HTTP 423 và lần thứ 6 nhập đúng cũng HTTP 423</t>
  </si>
  <si>
    <t>KQ-test\TC-21-07.png</t>
  </si>
  <si>
    <t>HTTP 403 Forbidden, thông báo đỏ tài khoản đã bị vô hiệu hóa, vui lòng liên hệ chủ quán</t>
  </si>
  <si>
    <t>KQ-test\TC-21-09.png</t>
  </si>
  <si>
    <t>KQ-test\TC-01-01.png</t>
  </si>
  <si>
    <t>KQ-test\TC-01-02.png</t>
  </si>
  <si>
    <t>KQ-test\TC-01-03.png</t>
  </si>
  <si>
    <t>Giao diện chỉ có cho số lượng 1 ấn dấu - số lượng không bị thay đổi</t>
  </si>
  <si>
    <t>Giao diện chỉ có cho số lượng 100 ấn dấu + số lượng không bị thay đổi</t>
  </si>
  <si>
    <t>Giao diện: món hiện xám, không chọn được. message: bạc xĩu đã hết nguyên liệu và  bàn vẫn trống</t>
  </si>
  <si>
    <t>KQ-test\TC-01-07.png</t>
  </si>
  <si>
    <t>bàn cân dọn không gọi món được, hiện message cần dọn bàn</t>
  </si>
  <si>
    <t>KQ-test\TC-01-08.png</t>
  </si>
  <si>
    <t>pass</t>
  </si>
  <si>
    <t>KQ-test\TC-04-01.png</t>
  </si>
  <si>
    <t>HTTP 200. soLuong=3; tongTien = 85.000 + 4×40.000 = 245000; món vẫn CHO_PHA_CHE.</t>
  </si>
  <si>
    <t>KQ-test\TC-04-02.png</t>
  </si>
  <si>
    <t>KQ-test\TC-04-03.png</t>
  </si>
  <si>
    <t>Hệ thống không cho chỉnh số lượng về 0</t>
  </si>
  <si>
    <t>Hệ thống không cho chỉnh số lượng về 100</t>
  </si>
  <si>
    <t>hệ thống không hiện nút hủy với món đang làm</t>
  </si>
  <si>
    <t>KQ-test\TC-10-01.png</t>
  </si>
  <si>
    <t>phuongThuc = TIEN_MAT; tienKhachDua = 85.000; maGiaoDich mới</t>
  </si>
  <si>
    <t>Đã đăng nhập thungan01; đơn dh-001 (ban-03/B03, HOAN_THANH, tổng 85.000, mọi món DA_XONG) chưa thanh toán (vừa nạp lại DB).</t>
  </si>
  <si>
    <t>KQ-test\TC-10-02.png</t>
  </si>
  <si>
    <t>KQ-test\TC-10-03.png</t>
  </si>
  <si>
    <t>KQ-test\TC-10-06.png</t>
  </si>
  <si>
    <t>đơn đã thanh toán thì hệ thống sẽ không hiện nữa</t>
  </si>
  <si>
    <t>Khi bàn đang phục vụ thì màn hình tạo hóa đơn chỉ có gọi thêm chứ không còn tạo thêm đơn nữa</t>
  </si>
  <si>
    <t>Hệ thống báo lỗi chưa chọn món nào</t>
  </si>
  <si>
    <t>TC-01-10</t>
  </si>
  <si>
    <t>KQ-test\TC-01-10.png</t>
  </si>
  <si>
    <t>TC-10-8</t>
  </si>
  <si>
    <t>KQ-test\TC-10-07.png</t>
  </si>
  <si>
    <t>Màn hình không cho phép thay đổi số lượng khi món đang làm</t>
  </si>
  <si>
    <t>KQ-test\TC-04-09.png</t>
  </si>
  <si>
    <t>Màn hình không cho phép thay đổi số lượng khi món đã xong</t>
  </si>
  <si>
    <t>KQ-test\TC-04-10.png</t>
  </si>
  <si>
    <t>Giao diện: món hiện xám, không chọn được.</t>
  </si>
  <si>
    <t>KQ-test\TC-04-11.png</t>
  </si>
  <si>
    <t>Khi bàn đã thanh toán thì tự động chuyển sang cần dọn không cho phép thêm sửa xóa</t>
  </si>
  <si>
    <t>KQ-test\TC-04-12.png</t>
  </si>
  <si>
    <t>KQ-test\TC-21-04.png</t>
  </si>
  <si>
    <t>KQ-test\TC-21-08.png</t>
  </si>
  <si>
    <t>HTTP 401 Unauthorized, success=false, maLoi="CHUA_DANG_NHAP", message="Vui lòng đăng nhập". Server chặn thành công truy cập trái phép khi thiếu token Authorization</t>
  </si>
  <si>
    <t>KQ-test\TC-21-10.png</t>
  </si>
  <si>
    <t>KQ-test\TC-21-11.png</t>
  </si>
  <si>
    <t>HTTP 403 Forbidden, success=false, maLoi="KHONG_CO_QUYEN", message="Bạn không có quyền thực hiện thao tác này". Hệ thống phân quyền chặt chẽ, chặn thành công khi tài khoản Phuc vu gọi API thanh toán của Thu ngan. Dữ liệu đơn hàng giữ nguyên</t>
  </si>
  <si>
    <t>UC22</t>
  </si>
  <si>
    <t>UC24</t>
  </si>
  <si>
    <t>TC-22-01</t>
  </si>
  <si>
    <t>Xem danh sách thực đơn (Chủ quán xem được toàn bộ món)</t>
  </si>
  <si>
    <t>UC22 Main Flow (bước 1); GET /api/menu-items</t>
  </si>
  <si>
    <t>Đã nạp lại schema.sql rồi seed.sql; server đang chạy; đã đăng nhập tài khoản chutquan01 (vai trò CHU_QUAN).</t>
  </si>
  <si>
    <t>GET /api/menu-items; Bearer token của chutquan01</t>
  </si>
  <si>
    <t>HTTP 200, success=true. data chứa danh sách tất cả các món ăn gồm: id, tenMon, gia, trangThai (CON_HANG, TAM_HET). Bảng thực đơn trên giao diện hiển thị đầy đủ các món.</t>
  </si>
  <si>
    <t>HTTP 200, success=true, trả về đầy đủ danh sách món kèm đơn giá và trạng thái bán. Giao diện vẽ bảng thực đơn chính xác.</t>
  </si>
  <si>
    <t>Khớp TC-22-01 trong tests/uc22.test.js</t>
  </si>
  <si>
    <t>TC-22-02</t>
  </si>
  <si>
    <t>Thêm món mới hợp lệ thành công (tên được chuẩn hóa bỏ khoảng trắng thừa)</t>
  </si>
  <si>
    <t>UC22 Main Flow (bước 2-6); POST /api/menu-items</t>
  </si>
  <si>
    <t>Đã đăng nhập chutquan01 (vai trò CHU_QUAN). Món "Cà phê muối" chưa tồn tại trong thực đơn.</t>
  </si>
  <si>
    <t>POST /api/menu-items; body: { tenMon: "  Cà   phê muối ", gia: 35000 }</t>
  </si>
  <si>
    <t>HTTP 201 Created. Tên món được tự động cắt gọn khoảng trắng thừa thành "Cà phê muối", gia = 35000, trangThai mặc định = "CON_HANG". Toast thông báo: "Đã thêm \"Cà phê muối\" vào thực đơn." và danh sách món được cập nhật ngay lập tức. CSDL có bản ghi mới trong bảng mon_an.</t>
  </si>
  <si>
    <t>TC-22-03</t>
  </si>
  <si>
    <t>Thêm món với tên trống hoặc chỉ chứa khoảng trắng (EF-1)</t>
  </si>
  <si>
    <t>EP (invalid class: tên món rỗng / toàn khoảng trắng)</t>
  </si>
  <si>
    <t>UC22 EF-1; POST /api/menu-items; mã lỗi TEN_MON_TRONG</t>
  </si>
  <si>
    <t>Đã đăng nhập chutquan01 (vai trò CHU_QUAN). Server đang chạy.</t>
  </si>
  <si>
    <t>(a) tenMon = "", gia = 35000
(b) tenMon = "   ", gia = 35000
(c) tenMon = undefined / null</t>
  </si>
  <si>
    <t>Giao diện: Hiển thị lỗi màu đỏ "Vui lòng nhập tên món" dưới ô tên món, focus về ô tên món.
API: HTTP 400 Bad Request, success=false, maLoi=TEN_MON_TRONG. Không ghi dữ liệu vào CSDL.</t>
  </si>
  <si>
    <t>TC-22-04</t>
  </si>
  <si>
    <t>Thêm món với tên vượt quá 100 ký tự (EF-2)</t>
  </si>
  <si>
    <t>BVA (ngay trên biên 100 ký tự: 101 ký tự)</t>
  </si>
  <si>
    <t>UC22 EF-2; POST /api/menu-items; mã lỗi TEN_MON_QUA_DAI</t>
  </si>
  <si>
    <t>tenMon = chuỗi 101 ký tự "A" ("A"×101), gia = 35000</t>
  </si>
  <si>
    <t>Giao diện: Thuộc tính maxlength="100" ngăn người dùng nhập quá 100 ký tự.
API: HTTP 400 Bad Request, success=false, maLoi=TEN_MON_QUA_DAI, message="Tên món tối đa 100 ký tự". Không lưu CSDL.</t>
  </si>
  <si>
    <t>TC-22-05</t>
  </si>
  <si>
    <t>Thêm món trùng tên đã có trong thực đơn (không phân biệt hoa thường) (EF-3)</t>
  </si>
  <si>
    <t>Black-box theo UC Spec (EF-3)</t>
  </si>
  <si>
    <t>UC22 EF-3; POST /api/menu-items; mã lỗi TEN_MON_DA_TON_TAI</t>
  </si>
  <si>
    <t>Đã đăng nhập chutquan01 (vai trò CHU_QUAN). Món "Cà phê đen" đã có sẵn trong thực đơn.</t>
  </si>
  <si>
    <t>tenMon = "CÀ PHÊ ĐEN" (viết hoa toàn bộ), gia = 30000</t>
  </si>
  <si>
    <t>HTTP 409 Conflict, success=false, maLoi=TEN_MON_DA_TON_TAI, message="Món \"Cà phê đen\" đã có trong thực đơn". Không tạo bản ghi trùng lặp trong CSDL.</t>
  </si>
  <si>
    <t>TC-22-06</t>
  </si>
  <si>
    <t>Giá món ở biên hợp lệ (1 đồng và 10.000.000 đồng)</t>
  </si>
  <si>
    <t>BVA (biên dưới = 1; biên trên = 10.000.000)</t>
  </si>
  <si>
    <t>UC22 Main Flow; POST /api/menu-items; BVA giá hợp lệ</t>
  </si>
  <si>
    <t>(a) tenMon = "Món giá 1 đồng", gia = 1
(b) tenMon = "Món giá 10 triệu", gia = 10000000</t>
  </si>
  <si>
    <t>HTTP 201 Created cho cả 2 trường hợp. Món được lưu thành công vào CSDL với đúng giá trị biên 1đ và 10.000.000đ.</t>
  </si>
  <si>
    <t>TC-22-07</t>
  </si>
  <si>
    <t>Giá món không hợp lệ: 0, số âm, vượt 10 triệu, số thập phân, chuỗi, null (EF-4)</t>
  </si>
  <si>
    <t>EP + BVA (invalid class &amp; ngoài biên)</t>
  </si>
  <si>
    <t>UC22 EF-4; POST /api/menu-items; mã lỗi GIA_KHONG_HOP_LE</t>
  </si>
  <si>
    <t>Thử các trường hợp gia:
(a) gia = 0
(b) gia = -1000
(c) gia = 10000001
(d) gia = 1500.5
(e) gia = "35000"
(f) gia = null</t>
  </si>
  <si>
    <t>Giao diện: Báo lỗi "Giá phải là số nguyên từ 1 đến 10.000.000 đồng" dưới ô giá.
API: HTTP 400 Bad Request, success=false, maLoi=GIA_KHONG_HOP_LE. Không lưu vào CSDL.</t>
  </si>
  <si>
    <t>TC-22-08</t>
  </si>
  <si>
    <t>Sửa giá món có sẵn trong thực đơn (AF-1)</t>
  </si>
  <si>
    <t>Black-box theo UC Spec (AF-1)</t>
  </si>
  <si>
    <t>UC22 AF-1; PATCH /api/menu-items/:id; capNhatGia</t>
  </si>
  <si>
    <t>Đã đăng nhập chutquan01 (vai trò CHU_QUAN). Món "Cà phê đen" (mon-01) đang có giá 25.000đ.</t>
  </si>
  <si>
    <t>PATCH /api/menu-items/mon-01; body: { gia: 28000 }</t>
  </si>
  <si>
    <t>HTTP 200 OK. CSDL cập nhật mon_an.gia = 28000, trạng thái giữ nguyên. Giao diện thông báo: "Đã đổi giá \"Cà phê đen\" thành 28.000đ." và cập nhật giá hiển thị.</t>
  </si>
  <si>
    <t>TC-22-09</t>
  </si>
  <si>
    <t>Tắt bán (chuyển Tạm hết) và Bật bán lại (chuyển Đang bán) (AF-2)</t>
  </si>
  <si>
    <t>Black-box theo UC Spec (AF-2)</t>
  </si>
  <si>
    <t>UC22 AF-2; PATCH /api/menu-items/:id; capNhatTrangThai</t>
  </si>
  <si>
    <t>Đã đăng nhập chutquan01 (vai trò CHU_QUAN). mon-01 đang "CON_HANG", mon-03 đang "TAM_HET".</t>
  </si>
  <si>
    <t>(a) PATCH /api/menu-items/mon-01 với { trangThai: "TAM_HET" }
(b) PATCH /api/menu-items/mon-03 với { trangThai: "CON_HANG" }</t>
  </si>
  <si>
    <t>HTTP 200 OK cho cả 2 thao tác:
(a) mon-01 chuyển sang TAM_HET, nhãn đổi "Tạm hết", nút đổi "Bật bán". Màn hình Phục vụ hiện món màu xám, nút "+ Thêm" bị vô hiệu hóa.
(b) mon-03 chuyển sang CON_HANG, nhãn đổi "Đang bán", nút đổi "Tắt bán". Màn hình Phục vụ cho phép gọi món bình thường.</t>
  </si>
  <si>
    <t>TC-22-10</t>
  </si>
  <si>
    <t>Sửa món không tồn tại trong hệ thống (EF-5)</t>
  </si>
  <si>
    <t>EP (invalid class: monId không tồn tại)</t>
  </si>
  <si>
    <t>UC22 EF-5; PATCH /api/menu-items/:id; mã lỗi MON_KHONG_TON_TAI</t>
  </si>
  <si>
    <t>Đã đăng nhập chutquan01 (vai trò CHU_QUAN). Mã mon-99 không tồn tại trong CSDL.</t>
  </si>
  <si>
    <t>PATCH /api/menu-items/mon-99; body: { gia: 28000 }</t>
  </si>
  <si>
    <t>HTTP 404 Not Found, success=false, maLoi=MON_KHONG_TON_TAI, message="Không tìm thấy món". Giao diện thông báo lỗi và tự động tải lại danh sách thực đơn.</t>
  </si>
  <si>
    <t>TC-22-11</t>
  </si>
  <si>
    <t>Sửa món với dữ liệu rỗng hoặc trạng thái không hợp lệ</t>
  </si>
  <si>
    <t>EP (invalid class: trạng thái ngoài ENUM / payload rỗng)</t>
  </si>
  <si>
    <t>UC22; PATCH /api/menu-items/:id; mã lỗi TRANG_THAI_KHONG_HOP_LE / DU_LIEU_KHONG_HOP_LE</t>
  </si>
  <si>
    <t>Đã đăng nhập chutquan01 (vai trò CHU_QUAN). Món mon-01 đang tồn tại.</t>
  </si>
  <si>
    <t>(a) PATCH /api/menu-items/mon-01; body: { gia: 28000, trangThai: "HET_HANG" }
(b) PATCH /api/menu-items/mon-01; body: {}</t>
  </si>
  <si>
    <t>(a) HTTP 400 Bad Request, maLoi=TRANG_THAI_KHONG_HOP_LE. Không sửa bất kỳ trường nào (kể cả giá gửi kèm).
(b) HTTP 400 Bad Request, maLoi=DU_LIEU_KHONG_HOP_LE, message="Không có thông tin cần sửa".</t>
  </si>
  <si>
    <t>TC-22-12</t>
  </si>
  <si>
    <t>Gọi API Quản lý menu khi chưa đăng nhập (EF-6 Security)</t>
  </si>
  <si>
    <t>EP (invalid class: thiếu Authorization header)</t>
  </si>
  <si>
    <t>UC22 EF-6; NFR-Security; middleware verifyToken; mã lỗi CHUA_DANG_NHAP</t>
  </si>
  <si>
    <t>Chưa đăng nhập, không có token Authorization.</t>
  </si>
  <si>
    <t>Gọi GET /api/menu-items, POST /api/menu-items, PATCH /api/menu-items/mon-01 không gửi header Authorization</t>
  </si>
  <si>
    <t>HTTP 401 Unauthorized, success=false, maLoi=CHUA_DANG_NHAP, message="Vui lòng đăng nhập". Hệ thống từ chối mọi yêu cầu và không thay đổi dữ liệu.</t>
  </si>
  <si>
    <t>TC-22-13</t>
  </si>
  <si>
    <t>Sai vai trò (Phục vụ, Barista, Thu ngân) gọi API Quản lý menu bị từ chối (EF-6 Security)</t>
  </si>
  <si>
    <t>EP (invalid class: vai trò không phải CHU_QUAN)</t>
  </si>
  <si>
    <t>UC22 EF-6; NFR-Security; middleware requireRole('CHU_QUAN'); mã lỗi KHONG_CO_QUYEN</t>
  </si>
  <si>
    <t>Đã đăng nhập với tài khoản vai trò PHUC_VU, BARISTA hoặc THU_NGAN (có token hợp lệ nhưng sai quyền).</t>
  </si>
  <si>
    <t>Dùng token PHUC_VU / BARISTA / THU_NGAN gọi GET, POST, PATCH /api/menu-items</t>
  </si>
  <si>
    <t>HTTP 403 Forbidden, success=false, maLoi=KHONG_CO_QUYEN, message="Bạn không có quyền thực hiện thao tác này". Không thêm/sửa món ăn.</t>
  </si>
  <si>
    <t>TC-22-14</t>
  </si>
  <si>
    <t>Black-box theo UC Spec (AF-3)</t>
  </si>
  <si>
    <t>TC-24-01</t>
  </si>
  <si>
    <t>Xem báo cáo doanh thu theo khoảng ngày hợp lệ</t>
  </si>
  <si>
    <t>UC24 Main Flow (bước 1-6); GET /api/reports/revenue</t>
  </si>
  <si>
    <t>Đã nạp lại schema.sql rồi seed.sql; đã đăng nhập tài khoản chutquan01 (vai trò CHU_QUAN). Trong khoảng ngày chọn có các đơn hàng thanh toán thành công.</t>
  </si>
  <si>
    <t>GET /api/reports/revenue?tuNgay=2026-10-10&amp;denNgay=2026-10-12 với Bearer token của chutquan01</t>
  </si>
  <si>
    <t>HTTP 200 OK. data trả về gồm: tuNgay, denNgay, soDon, doanhThu, trungBinhDon (làm tròn đến đồng); theoPhuongThuc gồm đủ 2 phương thức TIEN_MAT và QR (kể cả phương thức có doanh thu = 0); theoNgay gồm doanh thu từng ngày; topMon gồm tối đa 5 món bán chạy nhất (không tính món đã hủy).</t>
  </si>
  <si>
    <t>TC-24-02</t>
  </si>
  <si>
    <t>Truy vấn dữ liệu tính trọn vẹn mốc thời gian từ 00:00:00 ngày đầu đến trước 00:00:00 ngày sau ngày cuối</t>
  </si>
  <si>
    <t>Functional / Boundary</t>
  </si>
  <si>
    <t>UC24 Main Flow (bước 5); BaoCaoService.layBaoCao</t>
  </si>
  <si>
    <t>GET /api/reports/revenue?tuNgay=2026-10-10&amp;denNgay=2026-10-12</t>
  </si>
  <si>
    <t>Các hàm trong BaoCaoRepository được gọi với khoảng mốc thời gian chuẩn: tuLuc = "2026-10-10 00:00:00" đến denTruoc = "2026-10-13 00:00:00", đảm bảo tính trọn vẹn tất cả giao dịch đến 23:59:59 của ngày kết thúc.</t>
  </si>
  <si>
    <t>TC-24-03</t>
  </si>
  <si>
    <t>Biên ngày cuối tháng hoặc cuối năm vẫn cộng mốc giờ chính xác</t>
  </si>
  <si>
    <t>BVA (ranh giới ngày cuối năm 31/12)</t>
  </si>
  <si>
    <t>UC24; BaoCaoService.vietNgay; BVA ngày</t>
  </si>
  <si>
    <t>Đã đăng nhập chutquan01 (vai trò CHU_QUAN).</t>
  </si>
  <si>
    <t>GET /api/reports/revenue?tuNgay=2026-12-31 (xem báo cáo ngày cuối năm)</t>
  </si>
  <si>
    <t>HTTP 200 OK. Mốc giờ denTruoc được tính chính xác sang năm mới: "2026-12-31 00:00:00" đến "2027-01-01 00:00:00" (không bị tràn tháng hay lỗi ngày phi lý).</t>
  </si>
  <si>
    <t>TC-24-04</t>
  </si>
  <si>
    <t>Không truyền tham số ngày -&gt; Mặc định xem báo cáo ngày hôm nay (AF-2 / Main Flow bước 1)</t>
  </si>
  <si>
    <t>Functional (mặc định / AF-2)</t>
  </si>
  <si>
    <t>UC24 Main Flow (bước 1) &amp; AF-2; GET /api/reports/revenue</t>
  </si>
  <si>
    <t>GET /api/reports/revenue (không truyền query param tuNgay, denNgay)</t>
  </si>
  <si>
    <t>HTTP 200 OK. Hệ thống tự động điền tuNgay = denNgay = ngày hiện tại của máy chủ dạng YYYY-MM-DD và trả về báo cáo của ngày hôm nay.</t>
  </si>
  <si>
    <t>TC-24-05</t>
  </si>
  <si>
    <t>Khoảng ngày không có giao dịch thanh toán thành công (AF-3)</t>
  </si>
  <si>
    <t>UC24 AF-3; BaoCaoService; xử lý Division by Zero</t>
  </si>
  <si>
    <t>Đã đăng nhập chutquan01 (vai trò CHU_QUAN). Ngày 2026-10-13 chưa có giao dịch nào thành công.</t>
  </si>
  <si>
    <t>GET /api/reports/revenue?tuNgay=2026-10-13&amp;denNgay=2026-10-13</t>
  </si>
  <si>
    <t>HTTP 200 OK. soDon = 0, doanhThu = 0, trungBinhDon = 0 (tránh chia cho 0), theoNgay = [], topMon = []. Giao diện hiển thị: doanh thu 0đ, 0 đơn; các bảng báo "Chưa có món nào được bán trong khoảng này." và "Chưa có doanh thu trong khoảng này."</t>
  </si>
  <si>
    <t>TC-24-06</t>
  </si>
  <si>
    <t>Ngày sai định dạng hoặc là ngày không có thật trong lịch (EF-4)</t>
  </si>
  <si>
    <t>EP (invalid class: định dạng ngày sai / ngày phi lý)</t>
  </si>
  <si>
    <t>UC24 EF-4; GET /api/reports/revenue; mã lỗi NGAY_KHONG_HOP_LE</t>
  </si>
  <si>
    <t>Thử các giá trị tuNgay:
(a) tuNgay = "10/10/2026" (sai format DD/MM/YYYY)
(b) tuNgay = "2026-02-30" (ngày 30/02 không tồn tại)
(c) tuNgay = "2026-13-01" (tháng 13 không tồn tại)
(d) tuNgay = "abc" (chuỗi ký tự chữ)</t>
  </si>
  <si>
    <t>HTTP 400 Bad Request, success=false, maLoi=NGAY_KHONG_HOP_LE, message="Ngày phải có dạng YYYY-MM-DD và là ngày có thật". Hệ thống không thực hiện truy vấn SQL vào CSDL.</t>
  </si>
  <si>
    <t>TC-24-07</t>
  </si>
  <si>
    <t>"Từ ngày" sau "Đến ngày" hoặc khoảng ngày vượt quá 366 ngày (EF-2, EF-3, Boundary 366 ngày)</t>
  </si>
  <si>
    <t>BVA (ngưỡng 366 ngày) + EP (khoảng ngày ngược)</t>
  </si>
  <si>
    <t>UC24 EF-2 &amp; EF-3; GET /api/reports/revenue; mã lỗi KHOANG_NGAY_KHONG_HOP_LE</t>
  </si>
  <si>
    <t>(a) tuNgay = "2026-10-13", denNgay = "2026-10-01" ("Từ ngày" sau "Đến ngày")
(b) tuNgay = "2025-01-01", denNgay = "2026-10-13" (651 ngày &gt; 366 ngày)
(c) tuNgay = "2025-10-14", denNgay = "2026-10-14" (đúng 366 ngày - biên trên hợp lệ)</t>
  </si>
  <si>
    <t>(a) HTTP 400 Bad Request, maLoi=KHOANG_NGAY_KHONG_HOP_LE, message="\"Từ ngày\" không được sau \"Đến ngày\"".
(b) HTTP 400 Bad Request, maLoi=KHOANG_NGAY_KHONG_HOP_LE, message="Chỉ xem tối đa 366 ngày mỗi lần".
(c) HTTP 200 OK (biên đúng 366 ngày được chấp nhận).</t>
  </si>
  <si>
    <t>TC-24-08</t>
  </si>
  <si>
    <t>Phân quyền truy cập báo cáo doanh thu: chưa đăng nhập hoặc sai vai trò bị từ chối (EF-5 Security)</t>
  </si>
  <si>
    <t>EP (invalid class: thiếu token / sai vai trò)</t>
  </si>
  <si>
    <t>UC24 EF-5; NFR-Security; middleware verifyToken &amp; requireRole('CHU_QUAN'); mã lỗi CHUA_DANG_NHAP / KHONG_CO_QUYEN</t>
  </si>
  <si>
    <t>Server đang chạy.</t>
  </si>
  <si>
    <t>(a) GET /api/reports/revenue không gửi kèm token Authorization
(b) GET /api/reports/revenue với token của tài khoản vai trò PHUC_VU, BARISTA hoặc THU_NGAN</t>
  </si>
  <si>
    <t>(a) HTTP 401 Unauthorized, maLoi=CHUA_DANG_NHAP, message="Vui lòng đăng nhập".
(b) HTTP 403 Forbidden, maLoi=KHONG_CO_QUYEN, message="Bạn không có quyền thực hiện thao tác này". Không để lộ dữ liệu kinh doanh của quán cho vai trò khác.</t>
  </si>
  <si>
    <t>TC-24-09</t>
  </si>
  <si>
    <t>Chọn nhanh khoảng ngày ("Hôm nay", "7 ngày qua", "Tháng này") trên giao diện (AF-1)</t>
  </si>
  <si>
    <t>UC24 AF-1; nút [data-nhanh] trên giao diện bao-cao.html</t>
  </si>
  <si>
    <t>Đã đăng nhập chutquan01 (vai trò CHU_QUAN). Mở trang Báo cáo doanh thu (bao-cao.html).</t>
  </si>
  <si>
    <t>Lần lượt click các nút:
(a) Nút "Hôm nay"
(b) Nút "7 ngày qua"
(c) Nút "Tháng này"</t>
  </si>
  <si>
    <t>Hệ thống tự động tính toán và điền chính xác vào 2 ô "Từ ngày" và "Đến ngày", đồng thời gọi API tải lại báo cáo ngay:
(a) "Hôm nay": Từ ngày = Đến ngày = ngày hiện tại
(b) "7 ngày qua": Từ ngày = ngày hiện tại - 6 ngày; Đến ngày = ngày hiện tại
(c) "Tháng này": Từ ngày = ngày 01 của tháng hiện tại; Đến ngày = ngày hiện tại</t>
  </si>
  <si>
    <t>TC-24-10</t>
  </si>
  <si>
    <t>Bỏ trống "Từ ngày" khi xem báo cáo trên giao diện (EF-1)</t>
  </si>
  <si>
    <t>EP (invalid class: thiếu trường bắt buộc trên UI)</t>
  </si>
  <si>
    <t>UC24 EF-1; hàm taiBaoCao() trong bao-cao.js</t>
  </si>
  <si>
    <t>Đã đăng nhập chutquan01 (vai trò CHU_QUAN). Mở trang Báo cáo doanh thu.</t>
  </si>
  <si>
    <t>Xóa trống giá trị ở ô "Từ ngày", nhấn nút "Xem báo cáo"</t>
  </si>
  <si>
    <t>Giao diện chặn không gửi request lên server. Hiển thị thông báo lỗi màu đỏ: "Vui lòng chọn \"Từ ngày\"." ngay dưới hàng bộ lọc và tự động focus vào ô "Từ ngày".</t>
  </si>
  <si>
    <t>KQ-test\TC-22-02.png</t>
  </si>
  <si>
    <t>KQ-test\TC-22-03.png</t>
  </si>
  <si>
    <t>Kiểm tra giữ nguyên trạng thái món khi Chủ quán đã chủ động "Tắt bán"</t>
  </si>
  <si>
    <t>Integration Testing (Business Logic Conflict)</t>
  </si>
  <si>
    <t>UC18 &amp; UC22; POST /api/inventory/:id/restock; KhoHangRepository.js (hàm dongBoTrangThaiMonAn)</t>
  </si>
  <si>
    <t>- Món "Cà phê đen" có công thức gồm nguyên liệu "Hạt cà phê Robusta" (tồn kho &gt; 0).
- Chủ quán vào trang Quản lý menu, bấm "Tắt bán" món "Cà phê đen" (chuyển sang TAM_HET do quán tạm ngưng phục vụ).</t>
  </si>
  <si>
    <t>1. Barista thực hiện nhập thêm kho cho nguyên liệu "Hạt cà phê Robusta": POST /api/inventory/nl-01/restock với { soLuong: 10 }.
2. Kiểm tra lại trạng thái của món "Cà phê đen" trong bảng mon_an và trên menu Phục vụ.</t>
  </si>
  <si>
    <t>Món "Cà phê đen" vẫn phải giữ nguyên trạng thái TAM_HET vì Chủ quán đã chủ động tắt bán.</t>
  </si>
  <si>
    <t>Giao diện chỉ cho phép người dùng nhập giới hạn 100 ký tự không cho nhập hơn.</t>
  </si>
  <si>
    <t>KQ-test\TC-22-04.png</t>
  </si>
  <si>
    <t>KQ-test\TC-22-05.png</t>
  </si>
  <si>
    <t>KQ-test\TC-22-06.png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</si>
</sst>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sz val="11"/>
      <color theme="1"/>
      <name val="Calibri"/>
      <family val="2"/>
      <scheme val="minor"/>
    </font>
    <font>
      <b/>
      <sz val="14"/>
      <color rgb="FF1F3864"/>
      <name val="Arial"/>
      <family val="2"/>
    </font>
    <font>
      <b/>
      <sz val="10"/>
      <color rgb="FF000000"/>
      <name val="Arial"/>
      <family val="2"/>
    </font>
    <font>
      <sz val="10"/>
      <color rgb="FF000000"/>
      <name val="Arial"/>
      <family val="2"/>
    </font>
    <font>
      <b/>
      <sz val="10"/>
      <color rgb="FFFFFFFF"/>
      <name val="Arial"/>
      <family val="2"/>
    </font>
    <font>
      <b/>
      <sz val="11"/>
      <color rgb="FF1F3864"/>
      <name val="Arial"/>
      <family val="2"/>
    </font>
    <font>
      <u/>
      <sz val="11"/>
      <color theme="10"/>
      <name val="Calibri"/>
      <family val="2"/>
      <charset val="1"/>
    </font>
    <font>
      <sz val="8"/>
      <name val="Calibri"/>
      <family val="2"/>
      <charset val="1"/>
    </font>
    <font>
      <sz val="10"/>
      <name val="Arial"/>
      <family val="2"/>
    </font>
    <font>
      <sz val="10"/>
      <color rgb="FF000000"/>
      <name val="Arial"/>
      <family val="2"/>
    </font>
    <font>
      <b/>
      <sz val="10"/>
      <color rgb="FF9C0006"/>
      <name val="Arial"/>
      <family val="2"/>
    </font>
    <font>
      <sz val="10"/>
      <color rgb="FF000000"/>
      <name val="Arial"/>
      <family val="2"/>
    </font>
  </fonts>
  <fills count="7">
    <fill>
      <patternFill patternType="none"/>
    </fill>
    <fill>
      <patternFill patternType="gray125"/>
    </fill>
    <fill>
      <patternFill patternType="solid">
        <fgColor rgb="FF1F3864"/>
        <bgColor rgb="FF333333"/>
      </patternFill>
    </fill>
    <fill>
      <patternFill patternType="solid">
        <fgColor rgb="FFDDEBF7"/>
        <bgColor rgb="FFEDEDED"/>
      </patternFill>
    </fill>
    <fill>
      <patternFill patternType="solid">
        <fgColor rgb="FFFFF2CC"/>
        <bgColor rgb="FFEDEDED"/>
      </patternFill>
    </fill>
    <fill>
      <patternFill patternType="solid">
        <fgColor rgb="FFC55A11"/>
        <bgColor rgb="FFED7D31"/>
      </patternFill>
    </fill>
    <fill>
      <patternFill patternType="solid">
        <fgColor theme="0"/>
        <b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0" fontId="7" fillId="0" borderId="0" applyNumberFormat="0" applyFill="0" applyBorder="0" applyAlignment="0" applyProtection="0"/>
    <xf numFmtId="0" fontId="1" fillId="0" borderId="0"/>
  </cellStyleXfs>
  <cellXfs count="23">
    <xf numFmtId="0" fontId="0" fillId="0" borderId="0" xfId="0"/>
    <xf numFmtId="0" fontId="4" fillId="0" borderId="1" xfId="0" applyFont="1" applyBorder="1" applyAlignment="1">
      <alignment vertical="top" wrapText="1"/>
    </xf>
    <xf numFmtId="0" fontId="2" fillId="0" borderId="0" xfId="0" applyFont="1"/>
    <xf numFmtId="0" fontId="3" fillId="3" borderId="1" xfId="0" applyFont="1" applyFill="1" applyBorder="1" applyAlignment="1">
      <alignment vertical="top"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vertical="top" wrapText="1"/>
    </xf>
    <xf numFmtId="0" fontId="5" fillId="5" borderId="1" xfId="0" applyFont="1" applyFill="1" applyBorder="1" applyAlignment="1">
      <alignment horizontal="center" vertical="center" wrapText="1"/>
    </xf>
    <xf numFmtId="164" fontId="4" fillId="0" borderId="1" xfId="0" applyNumberFormat="1"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164" fontId="3" fillId="3" borderId="1" xfId="0" applyNumberFormat="1" applyFont="1" applyFill="1" applyBorder="1" applyAlignment="1">
      <alignment horizontal="center" vertical="top" wrapText="1"/>
    </xf>
    <xf numFmtId="0" fontId="6" fillId="0" borderId="0" xfId="0" applyFont="1"/>
    <xf numFmtId="0" fontId="7" fillId="0" borderId="1" xfId="1" applyBorder="1" applyAlignment="1">
      <alignment vertical="top" wrapText="1"/>
    </xf>
    <xf numFmtId="0" fontId="9" fillId="0" borderId="1" xfId="0" applyFont="1" applyBorder="1" applyAlignment="1">
      <alignment horizontal="center" vertical="top" wrapText="1"/>
    </xf>
    <xf numFmtId="0" fontId="9" fillId="0" borderId="1" xfId="0" applyFont="1" applyBorder="1" applyAlignment="1">
      <alignment vertical="top" wrapText="1"/>
    </xf>
    <xf numFmtId="0" fontId="10" fillId="0" borderId="1" xfId="2" applyFont="1" applyBorder="1" applyAlignment="1">
      <alignment horizontal="center" vertical="top" wrapText="1"/>
    </xf>
    <xf numFmtId="0" fontId="10" fillId="0" borderId="1" xfId="2" applyFont="1" applyBorder="1" applyAlignment="1">
      <alignment horizontal="left" vertical="top" wrapText="1"/>
    </xf>
    <xf numFmtId="0" fontId="12" fillId="0" borderId="1" xfId="2" applyFont="1" applyBorder="1" applyAlignment="1">
      <alignment horizontal="center" vertical="top" wrapText="1"/>
    </xf>
    <xf numFmtId="0" fontId="11" fillId="6" borderId="1" xfId="2" applyFont="1" applyFill="1" applyBorder="1" applyAlignment="1">
      <alignment horizontal="center" vertical="top" wrapText="1"/>
    </xf>
    <xf numFmtId="0" fontId="4" fillId="0" borderId="1" xfId="0" applyFont="1" applyBorder="1" applyAlignment="1">
      <alignment vertical="top" wrapText="1"/>
    </xf>
    <xf numFmtId="0" fontId="4" fillId="4" borderId="1" xfId="0" applyFont="1" applyFill="1" applyBorder="1" applyAlignment="1">
      <alignment vertical="top" wrapText="1"/>
    </xf>
  </cellXfs>
  <cellStyles count="3">
    <cellStyle name="Hyperlink" xfId="1" builtinId="8"/>
    <cellStyle name="Normal" xfId="0" builtinId="0"/>
    <cellStyle name="Normal 2" xfId="2" xr:uid="{5FAD4E6F-4F20-44E1-AD8C-2B89C9EDDB5E}"/>
  </cellStyles>
  <dxfs count="3">
    <dxf>
      <font>
        <color rgb="FF7F7F7F"/>
        <name val="Arial"/>
        <charset val="1"/>
      </font>
      <fill>
        <patternFill>
          <bgColor rgb="FFEDEDED"/>
        </patternFill>
      </fill>
    </dxf>
    <dxf>
      <font>
        <b/>
        <color rgb="FF9C0006"/>
        <name val="Arial"/>
        <charset val="1"/>
      </font>
      <fill>
        <patternFill>
          <bgColor rgb="FFFFC7CE"/>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7F7F7F"/>
      <rgbColor rgb="FF9999FF"/>
      <rgbColor rgb="FF7030A0"/>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FFF99"/>
      <rgbColor rgb="FF99CCFF"/>
      <rgbColor rgb="FFFF99CC"/>
      <rgbColor rgb="FFCC99FF"/>
      <rgbColor rgb="FFFFC7CE"/>
      <rgbColor rgb="FF2E75B6"/>
      <rgbColor rgb="FF33CCCC"/>
      <rgbColor rgb="FF99CC00"/>
      <rgbColor rgb="FFFFCC00"/>
      <rgbColor rgb="FFBF8F00"/>
      <rgbColor rgb="FFED7D31"/>
      <rgbColor rgb="FF666699"/>
      <rgbColor rgb="FF969696"/>
      <rgbColor rgb="FF1F3864"/>
      <rgbColor rgb="FF339966"/>
      <rgbColor rgb="FF003300"/>
      <rgbColor rgb="FF333300"/>
      <rgbColor rgb="FFC55A11"/>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KQ-test\TC-04-01.png" TargetMode="External"/><Relationship Id="rId18" Type="http://schemas.openxmlformats.org/officeDocument/2006/relationships/hyperlink" Target="KQ-test\TC-10-03.png" TargetMode="External"/><Relationship Id="rId26" Type="http://schemas.openxmlformats.org/officeDocument/2006/relationships/hyperlink" Target="KQ-test\TC-21-04.png" TargetMode="External"/><Relationship Id="rId3" Type="http://schemas.openxmlformats.org/officeDocument/2006/relationships/hyperlink" Target="KQ-test\TC-21-03.png" TargetMode="External"/><Relationship Id="rId21" Type="http://schemas.openxmlformats.org/officeDocument/2006/relationships/hyperlink" Target="KQ-test\TC-01-10.png" TargetMode="External"/><Relationship Id="rId34" Type="http://schemas.openxmlformats.org/officeDocument/2006/relationships/hyperlink" Target="KQ-test\TC-22-06.png" TargetMode="External"/><Relationship Id="rId7" Type="http://schemas.openxmlformats.org/officeDocument/2006/relationships/hyperlink" Target="KQ-test\TC-21-09.png" TargetMode="External"/><Relationship Id="rId12" Type="http://schemas.openxmlformats.org/officeDocument/2006/relationships/hyperlink" Target="KQ-test\TC-01-08.png" TargetMode="External"/><Relationship Id="rId17" Type="http://schemas.openxmlformats.org/officeDocument/2006/relationships/hyperlink" Target="KQ-test\TC-10-02.png" TargetMode="External"/><Relationship Id="rId25" Type="http://schemas.openxmlformats.org/officeDocument/2006/relationships/hyperlink" Target="KQ-test\TC-04-12.png" TargetMode="External"/><Relationship Id="rId33" Type="http://schemas.openxmlformats.org/officeDocument/2006/relationships/hyperlink" Target="KQ-test\TC-22-05.png" TargetMode="External"/><Relationship Id="rId2" Type="http://schemas.openxmlformats.org/officeDocument/2006/relationships/hyperlink" Target="KQ-test\TC-21-02.pdf" TargetMode="External"/><Relationship Id="rId16" Type="http://schemas.openxmlformats.org/officeDocument/2006/relationships/hyperlink" Target="KQ-test\TC-10-01.png" TargetMode="External"/><Relationship Id="rId20" Type="http://schemas.openxmlformats.org/officeDocument/2006/relationships/hyperlink" Target="KQ-test\TC-10-07.png" TargetMode="External"/><Relationship Id="rId29" Type="http://schemas.openxmlformats.org/officeDocument/2006/relationships/hyperlink" Target="KQ-test\TC-21-11.png" TargetMode="External"/><Relationship Id="rId1" Type="http://schemas.openxmlformats.org/officeDocument/2006/relationships/hyperlink" Target="KQ-test\TC-21-01.png" TargetMode="External"/><Relationship Id="rId6" Type="http://schemas.openxmlformats.org/officeDocument/2006/relationships/hyperlink" Target="KQ-test\TC-21-07.png" TargetMode="External"/><Relationship Id="rId11" Type="http://schemas.openxmlformats.org/officeDocument/2006/relationships/hyperlink" Target="KQ-test\TC-01-07.png" TargetMode="External"/><Relationship Id="rId24" Type="http://schemas.openxmlformats.org/officeDocument/2006/relationships/hyperlink" Target="KQ-test\TC-04-11.png" TargetMode="External"/><Relationship Id="rId32" Type="http://schemas.openxmlformats.org/officeDocument/2006/relationships/hyperlink" Target="KQ-test\TC-22-04.png" TargetMode="External"/><Relationship Id="rId5" Type="http://schemas.openxmlformats.org/officeDocument/2006/relationships/hyperlink" Target="KQ-test\TC-21-06.png" TargetMode="External"/><Relationship Id="rId15" Type="http://schemas.openxmlformats.org/officeDocument/2006/relationships/hyperlink" Target="KQ-test\TC-04-03.png" TargetMode="External"/><Relationship Id="rId23" Type="http://schemas.openxmlformats.org/officeDocument/2006/relationships/hyperlink" Target="KQ-test\TC-04-10.png" TargetMode="External"/><Relationship Id="rId28" Type="http://schemas.openxmlformats.org/officeDocument/2006/relationships/hyperlink" Target="KQ-test\TC-21-10.png" TargetMode="External"/><Relationship Id="rId10" Type="http://schemas.openxmlformats.org/officeDocument/2006/relationships/hyperlink" Target="KQ-test\TC-01-03.png" TargetMode="External"/><Relationship Id="rId19" Type="http://schemas.openxmlformats.org/officeDocument/2006/relationships/hyperlink" Target="KQ-test\TC-10-06.png" TargetMode="External"/><Relationship Id="rId31" Type="http://schemas.openxmlformats.org/officeDocument/2006/relationships/hyperlink" Target="KQ-test\TC-22-03.png" TargetMode="External"/><Relationship Id="rId4" Type="http://schemas.openxmlformats.org/officeDocument/2006/relationships/hyperlink" Target="KQ-test\TC-21-05.png" TargetMode="External"/><Relationship Id="rId9" Type="http://schemas.openxmlformats.org/officeDocument/2006/relationships/hyperlink" Target="KQ-test\TC-01-02.png" TargetMode="External"/><Relationship Id="rId14" Type="http://schemas.openxmlformats.org/officeDocument/2006/relationships/hyperlink" Target="KQ-test\TC-04-02.png" TargetMode="External"/><Relationship Id="rId22" Type="http://schemas.openxmlformats.org/officeDocument/2006/relationships/hyperlink" Target="KQ-test\TC-04-09.png" TargetMode="External"/><Relationship Id="rId27" Type="http://schemas.openxmlformats.org/officeDocument/2006/relationships/hyperlink" Target="KQ-test\TC-21-08.png" TargetMode="External"/><Relationship Id="rId30" Type="http://schemas.openxmlformats.org/officeDocument/2006/relationships/hyperlink" Target="KQ-test\TC-22-02.png" TargetMode="External"/><Relationship Id="rId8" Type="http://schemas.openxmlformats.org/officeDocument/2006/relationships/hyperlink" Target="KQ-test\TC-01-0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N89"/>
  <sheetViews>
    <sheetView tabSelected="1" zoomScale="127" zoomScaleNormal="70" workbookViewId="0">
      <pane xSplit="3" ySplit="1" topLeftCell="K70" activePane="bottomRight" state="frozen"/>
      <selection pane="topRight" activeCell="D1" sqref="D1"/>
      <selection pane="bottomLeft" activeCell="A3" sqref="A3"/>
      <selection pane="bottomRight" activeCell="M71" sqref="M71"/>
    </sheetView>
  </sheetViews>
  <sheetFormatPr defaultColWidth="8.7109375" defaultRowHeight="15" x14ac:dyDescent="0.25"/>
  <cols>
    <col min="1" max="1" width="11" customWidth="1"/>
    <col min="2" max="2" width="8" customWidth="1"/>
    <col min="3" max="3" width="34" customWidth="1"/>
    <col min="4" max="4" width="15" customWidth="1"/>
    <col min="5" max="5" width="24" customWidth="1"/>
    <col min="6" max="6" width="30" customWidth="1"/>
    <col min="7" max="7" width="9" customWidth="1"/>
    <col min="8" max="8" width="32" customWidth="1"/>
    <col min="9" max="9" width="34" customWidth="1"/>
    <col min="10" max="10" width="52" customWidth="1"/>
    <col min="11" max="11" width="49" customWidth="1"/>
    <col min="12" max="12" width="12" customWidth="1"/>
    <col min="13" max="13" width="20" customWidth="1"/>
    <col min="14" max="14" width="34" customWidth="1"/>
  </cols>
  <sheetData>
    <row r="1" spans="1:14" ht="31.5" customHeight="1" x14ac:dyDescent="0.25">
      <c r="A1" s="4" t="s">
        <v>22</v>
      </c>
      <c r="B1" s="4" t="s">
        <v>0</v>
      </c>
      <c r="C1" s="4" t="s">
        <v>23</v>
      </c>
      <c r="D1" s="4" t="s">
        <v>24</v>
      </c>
      <c r="E1" s="4" t="s">
        <v>25</v>
      </c>
      <c r="F1" s="4" t="s">
        <v>26</v>
      </c>
      <c r="G1" s="4" t="s">
        <v>27</v>
      </c>
      <c r="H1" s="4" t="s">
        <v>28</v>
      </c>
      <c r="I1" s="4" t="s">
        <v>29</v>
      </c>
      <c r="J1" s="4" t="s">
        <v>30</v>
      </c>
      <c r="K1" s="8" t="s">
        <v>31</v>
      </c>
      <c r="L1" s="8" t="s">
        <v>32</v>
      </c>
      <c r="M1" s="8" t="s">
        <v>33</v>
      </c>
      <c r="N1" s="4" t="s">
        <v>34</v>
      </c>
    </row>
    <row r="2" spans="1:14" ht="89.25" x14ac:dyDescent="0.25">
      <c r="A2" s="5" t="s">
        <v>120</v>
      </c>
      <c r="B2" s="6" t="s">
        <v>5</v>
      </c>
      <c r="C2" s="1" t="s">
        <v>121</v>
      </c>
      <c r="D2" s="1" t="s">
        <v>37</v>
      </c>
      <c r="E2" s="1" t="s">
        <v>38</v>
      </c>
      <c r="F2" s="1" t="s">
        <v>122</v>
      </c>
      <c r="G2" s="6" t="s">
        <v>40</v>
      </c>
      <c r="H2" s="1" t="s">
        <v>123</v>
      </c>
      <c r="I2" s="1" t="s">
        <v>124</v>
      </c>
      <c r="J2" s="1" t="s">
        <v>125</v>
      </c>
      <c r="K2" s="1" t="s">
        <v>125</v>
      </c>
      <c r="L2" s="6" t="s">
        <v>459</v>
      </c>
      <c r="M2" s="14" t="s">
        <v>474</v>
      </c>
      <c r="N2" s="1"/>
    </row>
    <row r="3" spans="1:14" ht="38.25" x14ac:dyDescent="0.25">
      <c r="A3" s="5" t="s">
        <v>126</v>
      </c>
      <c r="B3" s="6" t="s">
        <v>5</v>
      </c>
      <c r="C3" s="1" t="s">
        <v>127</v>
      </c>
      <c r="D3" s="1" t="s">
        <v>74</v>
      </c>
      <c r="E3" s="1" t="s">
        <v>128</v>
      </c>
      <c r="F3" s="1" t="s">
        <v>129</v>
      </c>
      <c r="G3" s="6" t="s">
        <v>40</v>
      </c>
      <c r="H3" s="1" t="s">
        <v>123</v>
      </c>
      <c r="I3" s="1" t="s">
        <v>130</v>
      </c>
      <c r="J3" s="1" t="s">
        <v>131</v>
      </c>
      <c r="K3" s="1" t="s">
        <v>131</v>
      </c>
      <c r="L3" s="6" t="s">
        <v>459</v>
      </c>
      <c r="M3" s="14" t="s">
        <v>475</v>
      </c>
      <c r="N3" s="1"/>
    </row>
    <row r="4" spans="1:14" ht="38.25" x14ac:dyDescent="0.25">
      <c r="A4" s="5" t="s">
        <v>132</v>
      </c>
      <c r="B4" s="6" t="s">
        <v>5</v>
      </c>
      <c r="C4" s="1" t="s">
        <v>133</v>
      </c>
      <c r="D4" s="1" t="s">
        <v>74</v>
      </c>
      <c r="E4" s="1" t="s">
        <v>134</v>
      </c>
      <c r="F4" s="1" t="s">
        <v>129</v>
      </c>
      <c r="G4" s="6" t="s">
        <v>40</v>
      </c>
      <c r="H4" s="1" t="s">
        <v>123</v>
      </c>
      <c r="I4" s="1" t="s">
        <v>135</v>
      </c>
      <c r="J4" s="1" t="s">
        <v>136</v>
      </c>
      <c r="K4" s="1" t="s">
        <v>136</v>
      </c>
      <c r="L4" s="6" t="s">
        <v>459</v>
      </c>
      <c r="M4" s="14" t="s">
        <v>476</v>
      </c>
      <c r="N4" s="1"/>
    </row>
    <row r="5" spans="1:14" ht="51" x14ac:dyDescent="0.25">
      <c r="A5" s="5" t="s">
        <v>137</v>
      </c>
      <c r="B5" s="6" t="s">
        <v>5</v>
      </c>
      <c r="C5" s="1" t="s">
        <v>138</v>
      </c>
      <c r="D5" s="1" t="s">
        <v>54</v>
      </c>
      <c r="E5" s="1" t="s">
        <v>139</v>
      </c>
      <c r="F5" s="1" t="s">
        <v>140</v>
      </c>
      <c r="G5" s="6" t="s">
        <v>40</v>
      </c>
      <c r="H5" s="1" t="s">
        <v>123</v>
      </c>
      <c r="I5" s="1" t="s">
        <v>141</v>
      </c>
      <c r="J5" s="1" t="s">
        <v>142</v>
      </c>
      <c r="K5" s="1" t="s">
        <v>477</v>
      </c>
      <c r="L5" s="6" t="s">
        <v>459</v>
      </c>
      <c r="M5" s="1"/>
      <c r="N5" s="1"/>
    </row>
    <row r="6" spans="1:14" ht="51" x14ac:dyDescent="0.25">
      <c r="A6" s="5" t="s">
        <v>143</v>
      </c>
      <c r="B6" s="6" t="s">
        <v>5</v>
      </c>
      <c r="C6" s="1" t="s">
        <v>144</v>
      </c>
      <c r="D6" s="1" t="s">
        <v>54</v>
      </c>
      <c r="E6" s="1" t="s">
        <v>145</v>
      </c>
      <c r="F6" s="1" t="s">
        <v>140</v>
      </c>
      <c r="G6" s="6" t="s">
        <v>40</v>
      </c>
      <c r="H6" s="1" t="s">
        <v>123</v>
      </c>
      <c r="I6" s="1" t="s">
        <v>146</v>
      </c>
      <c r="J6" s="1" t="s">
        <v>147</v>
      </c>
      <c r="K6" s="1" t="s">
        <v>477</v>
      </c>
      <c r="L6" s="6" t="s">
        <v>459</v>
      </c>
      <c r="M6" s="1"/>
      <c r="N6" s="1"/>
    </row>
    <row r="7" spans="1:14" ht="51" x14ac:dyDescent="0.25">
      <c r="A7" s="5" t="s">
        <v>148</v>
      </c>
      <c r="B7" s="6" t="s">
        <v>5</v>
      </c>
      <c r="C7" s="1" t="s">
        <v>149</v>
      </c>
      <c r="D7" s="1" t="s">
        <v>74</v>
      </c>
      <c r="E7" s="1" t="s">
        <v>150</v>
      </c>
      <c r="F7" s="1" t="s">
        <v>151</v>
      </c>
      <c r="G7" s="6" t="s">
        <v>40</v>
      </c>
      <c r="H7" s="1" t="s">
        <v>123</v>
      </c>
      <c r="I7" s="1" t="s">
        <v>152</v>
      </c>
      <c r="J7" s="1" t="s">
        <v>153</v>
      </c>
      <c r="K7" s="1" t="s">
        <v>478</v>
      </c>
      <c r="L7" s="6" t="s">
        <v>459</v>
      </c>
      <c r="M7" s="1"/>
      <c r="N7" s="1"/>
    </row>
    <row r="8" spans="1:14" ht="51" x14ac:dyDescent="0.25">
      <c r="A8" s="5" t="s">
        <v>154</v>
      </c>
      <c r="B8" s="6" t="s">
        <v>5</v>
      </c>
      <c r="C8" s="1" t="s">
        <v>155</v>
      </c>
      <c r="D8" s="1" t="s">
        <v>20</v>
      </c>
      <c r="E8" s="1" t="s">
        <v>156</v>
      </c>
      <c r="F8" s="1" t="s">
        <v>157</v>
      </c>
      <c r="G8" s="6" t="s">
        <v>40</v>
      </c>
      <c r="H8" s="1" t="s">
        <v>158</v>
      </c>
      <c r="I8" s="1" t="s">
        <v>159</v>
      </c>
      <c r="J8" s="1" t="s">
        <v>160</v>
      </c>
      <c r="K8" s="1" t="s">
        <v>479</v>
      </c>
      <c r="L8" s="6" t="s">
        <v>459</v>
      </c>
      <c r="M8" s="14" t="s">
        <v>480</v>
      </c>
      <c r="N8" s="1" t="s">
        <v>161</v>
      </c>
    </row>
    <row r="9" spans="1:14" ht="38.25" x14ac:dyDescent="0.25">
      <c r="A9" s="5" t="s">
        <v>162</v>
      </c>
      <c r="B9" s="6" t="s">
        <v>5</v>
      </c>
      <c r="C9" s="1" t="s">
        <v>163</v>
      </c>
      <c r="D9" s="1" t="s">
        <v>20</v>
      </c>
      <c r="E9" s="1" t="s">
        <v>164</v>
      </c>
      <c r="F9" s="1" t="s">
        <v>157</v>
      </c>
      <c r="G9" s="6" t="s">
        <v>40</v>
      </c>
      <c r="H9" s="1" t="s">
        <v>165</v>
      </c>
      <c r="I9" s="1" t="s">
        <v>166</v>
      </c>
      <c r="J9" s="1" t="s">
        <v>167</v>
      </c>
      <c r="K9" s="1" t="s">
        <v>481</v>
      </c>
      <c r="L9" s="6" t="s">
        <v>459</v>
      </c>
      <c r="M9" s="14" t="s">
        <v>482</v>
      </c>
      <c r="N9" s="1"/>
    </row>
    <row r="10" spans="1:14" ht="51" x14ac:dyDescent="0.25">
      <c r="A10" s="5" t="s">
        <v>168</v>
      </c>
      <c r="B10" s="6" t="s">
        <v>5</v>
      </c>
      <c r="C10" s="1" t="s">
        <v>169</v>
      </c>
      <c r="D10" s="1" t="s">
        <v>20</v>
      </c>
      <c r="E10" s="1" t="s">
        <v>170</v>
      </c>
      <c r="F10" s="1" t="s">
        <v>171</v>
      </c>
      <c r="G10" s="6" t="s">
        <v>63</v>
      </c>
      <c r="H10" s="1" t="s">
        <v>172</v>
      </c>
      <c r="I10" s="1" t="s">
        <v>173</v>
      </c>
      <c r="J10" s="1" t="s">
        <v>174</v>
      </c>
      <c r="K10" s="1" t="s">
        <v>498</v>
      </c>
      <c r="L10" s="6" t="s">
        <v>459</v>
      </c>
      <c r="M10" s="1"/>
      <c r="N10" s="1" t="s">
        <v>175</v>
      </c>
    </row>
    <row r="11" spans="1:14" ht="38.25" x14ac:dyDescent="0.25">
      <c r="A11" s="5" t="s">
        <v>500</v>
      </c>
      <c r="B11" s="6" t="s">
        <v>5</v>
      </c>
      <c r="C11" s="1" t="s">
        <v>176</v>
      </c>
      <c r="D11" s="1" t="s">
        <v>54</v>
      </c>
      <c r="E11" s="1" t="s">
        <v>177</v>
      </c>
      <c r="F11" s="1" t="s">
        <v>178</v>
      </c>
      <c r="G11" s="6" t="s">
        <v>91</v>
      </c>
      <c r="H11" s="1" t="s">
        <v>123</v>
      </c>
      <c r="I11" s="1" t="s">
        <v>179</v>
      </c>
      <c r="J11" s="1" t="s">
        <v>180</v>
      </c>
      <c r="K11" s="1" t="s">
        <v>499</v>
      </c>
      <c r="L11" s="6" t="s">
        <v>459</v>
      </c>
      <c r="M11" s="14" t="s">
        <v>501</v>
      </c>
      <c r="N11" s="1"/>
    </row>
    <row r="12" spans="1:14" ht="102" x14ac:dyDescent="0.25">
      <c r="A12" s="5" t="s">
        <v>181</v>
      </c>
      <c r="B12" s="6" t="s">
        <v>7</v>
      </c>
      <c r="C12" s="1" t="s">
        <v>182</v>
      </c>
      <c r="D12" s="1" t="s">
        <v>37</v>
      </c>
      <c r="E12" s="1" t="s">
        <v>38</v>
      </c>
      <c r="F12" s="1" t="s">
        <v>183</v>
      </c>
      <c r="G12" s="6" t="s">
        <v>40</v>
      </c>
      <c r="H12" s="1" t="s">
        <v>184</v>
      </c>
      <c r="I12" s="1" t="s">
        <v>185</v>
      </c>
      <c r="J12" s="1" t="s">
        <v>186</v>
      </c>
      <c r="K12" s="1" t="s">
        <v>186</v>
      </c>
      <c r="L12" s="6" t="s">
        <v>483</v>
      </c>
      <c r="M12" s="14" t="s">
        <v>484</v>
      </c>
      <c r="N12" s="1"/>
    </row>
    <row r="13" spans="1:14" ht="89.25" x14ac:dyDescent="0.25">
      <c r="A13" s="5" t="s">
        <v>187</v>
      </c>
      <c r="B13" s="6" t="s">
        <v>7</v>
      </c>
      <c r="C13" s="1" t="s">
        <v>188</v>
      </c>
      <c r="D13" s="1" t="s">
        <v>37</v>
      </c>
      <c r="E13" s="1" t="s">
        <v>38</v>
      </c>
      <c r="F13" s="1" t="s">
        <v>189</v>
      </c>
      <c r="G13" s="6" t="s">
        <v>40</v>
      </c>
      <c r="H13" s="1" t="s">
        <v>190</v>
      </c>
      <c r="I13" s="1" t="s">
        <v>191</v>
      </c>
      <c r="J13" s="1" t="s">
        <v>192</v>
      </c>
      <c r="K13" s="1" t="s">
        <v>485</v>
      </c>
      <c r="L13" s="6" t="s">
        <v>459</v>
      </c>
      <c r="M13" s="14" t="s">
        <v>486</v>
      </c>
      <c r="N13" s="1"/>
    </row>
    <row r="14" spans="1:14" ht="89.25" x14ac:dyDescent="0.25">
      <c r="A14" s="5" t="s">
        <v>193</v>
      </c>
      <c r="B14" s="6" t="s">
        <v>7</v>
      </c>
      <c r="C14" s="1" t="s">
        <v>194</v>
      </c>
      <c r="D14" s="1" t="s">
        <v>37</v>
      </c>
      <c r="E14" s="1" t="s">
        <v>38</v>
      </c>
      <c r="F14" s="1" t="s">
        <v>195</v>
      </c>
      <c r="G14" s="6" t="s">
        <v>40</v>
      </c>
      <c r="H14" s="1" t="s">
        <v>190</v>
      </c>
      <c r="I14" s="1" t="s">
        <v>196</v>
      </c>
      <c r="J14" s="1" t="s">
        <v>197</v>
      </c>
      <c r="K14" s="1" t="s">
        <v>197</v>
      </c>
      <c r="L14" s="6" t="s">
        <v>459</v>
      </c>
      <c r="M14" s="14" t="s">
        <v>487</v>
      </c>
      <c r="N14" s="1"/>
    </row>
    <row r="15" spans="1:14" ht="89.25" x14ac:dyDescent="0.25">
      <c r="A15" s="5" t="s">
        <v>198</v>
      </c>
      <c r="B15" s="6" t="s">
        <v>7</v>
      </c>
      <c r="C15" s="1" t="s">
        <v>199</v>
      </c>
      <c r="D15" s="1" t="s">
        <v>74</v>
      </c>
      <c r="E15" s="1" t="s">
        <v>128</v>
      </c>
      <c r="F15" s="1" t="s">
        <v>200</v>
      </c>
      <c r="G15" s="6" t="s">
        <v>40</v>
      </c>
      <c r="H15" s="1" t="s">
        <v>190</v>
      </c>
      <c r="I15" s="1" t="s">
        <v>201</v>
      </c>
      <c r="J15" s="1" t="s">
        <v>202</v>
      </c>
      <c r="K15" s="1" t="s">
        <v>202</v>
      </c>
      <c r="L15" s="6" t="s">
        <v>459</v>
      </c>
      <c r="M15" s="1"/>
      <c r="N15" s="1"/>
    </row>
    <row r="16" spans="1:14" ht="89.25" x14ac:dyDescent="0.25">
      <c r="A16" s="5" t="s">
        <v>203</v>
      </c>
      <c r="B16" s="6" t="s">
        <v>7</v>
      </c>
      <c r="C16" s="1" t="s">
        <v>204</v>
      </c>
      <c r="D16" s="1" t="s">
        <v>74</v>
      </c>
      <c r="E16" s="1" t="s">
        <v>134</v>
      </c>
      <c r="F16" s="1" t="s">
        <v>200</v>
      </c>
      <c r="G16" s="6" t="s">
        <v>40</v>
      </c>
      <c r="H16" s="1" t="s">
        <v>190</v>
      </c>
      <c r="I16" s="1" t="s">
        <v>205</v>
      </c>
      <c r="J16" s="1" t="s">
        <v>206</v>
      </c>
      <c r="K16" s="1" t="s">
        <v>206</v>
      </c>
      <c r="L16" s="6" t="s">
        <v>459</v>
      </c>
      <c r="M16" s="1"/>
      <c r="N16" s="1"/>
    </row>
    <row r="17" spans="1:14" ht="89.25" x14ac:dyDescent="0.25">
      <c r="A17" s="5" t="s">
        <v>207</v>
      </c>
      <c r="B17" s="6" t="s">
        <v>7</v>
      </c>
      <c r="C17" s="1" t="s">
        <v>208</v>
      </c>
      <c r="D17" s="1" t="s">
        <v>54</v>
      </c>
      <c r="E17" s="1" t="s">
        <v>139</v>
      </c>
      <c r="F17" s="1" t="s">
        <v>209</v>
      </c>
      <c r="G17" s="6" t="s">
        <v>40</v>
      </c>
      <c r="H17" s="1" t="s">
        <v>190</v>
      </c>
      <c r="I17" s="1" t="s">
        <v>210</v>
      </c>
      <c r="J17" s="1" t="s">
        <v>211</v>
      </c>
      <c r="K17" s="1" t="s">
        <v>488</v>
      </c>
      <c r="L17" s="6" t="s">
        <v>459</v>
      </c>
      <c r="M17" s="1"/>
      <c r="N17" s="1"/>
    </row>
    <row r="18" spans="1:14" ht="89.25" x14ac:dyDescent="0.25">
      <c r="A18" s="5" t="s">
        <v>212</v>
      </c>
      <c r="B18" s="6" t="s">
        <v>7</v>
      </c>
      <c r="C18" s="1" t="s">
        <v>213</v>
      </c>
      <c r="D18" s="1" t="s">
        <v>74</v>
      </c>
      <c r="E18" s="1" t="s">
        <v>150</v>
      </c>
      <c r="F18" s="1" t="s">
        <v>209</v>
      </c>
      <c r="G18" s="6" t="s">
        <v>40</v>
      </c>
      <c r="H18" s="1" t="s">
        <v>190</v>
      </c>
      <c r="I18" s="1" t="s">
        <v>214</v>
      </c>
      <c r="J18" s="1" t="s">
        <v>215</v>
      </c>
      <c r="K18" s="1" t="s">
        <v>489</v>
      </c>
      <c r="L18" s="6" t="s">
        <v>459</v>
      </c>
      <c r="M18" s="1"/>
      <c r="N18" s="1"/>
    </row>
    <row r="19" spans="1:14" ht="102" x14ac:dyDescent="0.25">
      <c r="A19" s="5" t="s">
        <v>216</v>
      </c>
      <c r="B19" s="6" t="s">
        <v>7</v>
      </c>
      <c r="C19" s="1" t="s">
        <v>217</v>
      </c>
      <c r="D19" s="1" t="s">
        <v>20</v>
      </c>
      <c r="E19" s="1" t="s">
        <v>218</v>
      </c>
      <c r="F19" s="1" t="s">
        <v>219</v>
      </c>
      <c r="G19" s="6" t="s">
        <v>40</v>
      </c>
      <c r="H19" s="1" t="s">
        <v>220</v>
      </c>
      <c r="I19" s="1" t="s">
        <v>221</v>
      </c>
      <c r="J19" s="1" t="s">
        <v>222</v>
      </c>
      <c r="K19" s="1" t="s">
        <v>490</v>
      </c>
      <c r="L19" s="6" t="s">
        <v>459</v>
      </c>
      <c r="M19" s="1"/>
      <c r="N19" s="1" t="s">
        <v>223</v>
      </c>
    </row>
    <row r="20" spans="1:14" ht="102" x14ac:dyDescent="0.25">
      <c r="A20" s="5" t="s">
        <v>224</v>
      </c>
      <c r="B20" s="6" t="s">
        <v>7</v>
      </c>
      <c r="C20" s="1" t="s">
        <v>225</v>
      </c>
      <c r="D20" s="1" t="s">
        <v>20</v>
      </c>
      <c r="E20" s="1" t="s">
        <v>218</v>
      </c>
      <c r="F20" s="1" t="s">
        <v>200</v>
      </c>
      <c r="G20" s="6" t="s">
        <v>63</v>
      </c>
      <c r="H20" s="1" t="s">
        <v>220</v>
      </c>
      <c r="I20" s="1" t="s">
        <v>226</v>
      </c>
      <c r="J20" s="1" t="s">
        <v>227</v>
      </c>
      <c r="K20" s="1" t="s">
        <v>504</v>
      </c>
      <c r="L20" s="6" t="s">
        <v>459</v>
      </c>
      <c r="M20" s="14" t="s">
        <v>505</v>
      </c>
      <c r="N20" s="1"/>
    </row>
    <row r="21" spans="1:14" ht="76.5" x14ac:dyDescent="0.25">
      <c r="A21" s="5" t="s">
        <v>228</v>
      </c>
      <c r="B21" s="6" t="s">
        <v>7</v>
      </c>
      <c r="C21" s="1" t="s">
        <v>229</v>
      </c>
      <c r="D21" s="1" t="s">
        <v>20</v>
      </c>
      <c r="E21" s="1" t="s">
        <v>218</v>
      </c>
      <c r="F21" s="1" t="s">
        <v>200</v>
      </c>
      <c r="G21" s="6" t="s">
        <v>63</v>
      </c>
      <c r="H21" s="1" t="s">
        <v>230</v>
      </c>
      <c r="I21" s="1" t="s">
        <v>231</v>
      </c>
      <c r="J21" s="1" t="s">
        <v>232</v>
      </c>
      <c r="K21" s="1" t="s">
        <v>506</v>
      </c>
      <c r="L21" s="6" t="s">
        <v>459</v>
      </c>
      <c r="M21" s="14" t="s">
        <v>507</v>
      </c>
      <c r="N21" s="1"/>
    </row>
    <row r="22" spans="1:14" ht="102" x14ac:dyDescent="0.25">
      <c r="A22" s="5" t="s">
        <v>233</v>
      </c>
      <c r="B22" s="6" t="s">
        <v>7</v>
      </c>
      <c r="C22" s="1" t="s">
        <v>234</v>
      </c>
      <c r="D22" s="1" t="s">
        <v>20</v>
      </c>
      <c r="E22" s="1" t="s">
        <v>156</v>
      </c>
      <c r="F22" s="1" t="s">
        <v>235</v>
      </c>
      <c r="G22" s="6" t="s">
        <v>63</v>
      </c>
      <c r="H22" s="1" t="s">
        <v>236</v>
      </c>
      <c r="I22" s="1" t="s">
        <v>237</v>
      </c>
      <c r="J22" s="1" t="s">
        <v>238</v>
      </c>
      <c r="K22" s="1" t="s">
        <v>508</v>
      </c>
      <c r="L22" s="6" t="s">
        <v>459</v>
      </c>
      <c r="M22" s="14" t="s">
        <v>509</v>
      </c>
      <c r="N22" s="1"/>
    </row>
    <row r="23" spans="1:14" ht="51" x14ac:dyDescent="0.25">
      <c r="A23" s="5" t="s">
        <v>239</v>
      </c>
      <c r="B23" s="6" t="s">
        <v>7</v>
      </c>
      <c r="C23" s="1" t="s">
        <v>240</v>
      </c>
      <c r="D23" s="1" t="s">
        <v>20</v>
      </c>
      <c r="E23" s="1" t="s">
        <v>241</v>
      </c>
      <c r="F23" s="1" t="s">
        <v>242</v>
      </c>
      <c r="G23" s="6" t="s">
        <v>63</v>
      </c>
      <c r="H23" s="1" t="s">
        <v>243</v>
      </c>
      <c r="I23" s="1" t="s">
        <v>244</v>
      </c>
      <c r="J23" s="1" t="s">
        <v>245</v>
      </c>
      <c r="K23" s="1" t="s">
        <v>510</v>
      </c>
      <c r="L23" s="6" t="s">
        <v>459</v>
      </c>
      <c r="M23" s="14" t="s">
        <v>511</v>
      </c>
      <c r="N23" s="1"/>
    </row>
    <row r="24" spans="1:14" ht="25.5" x14ac:dyDescent="0.25">
      <c r="A24" s="5" t="s">
        <v>390</v>
      </c>
      <c r="B24" s="6" t="s">
        <v>18</v>
      </c>
      <c r="C24" s="1" t="s">
        <v>391</v>
      </c>
      <c r="D24" s="1" t="s">
        <v>37</v>
      </c>
      <c r="E24" s="1" t="s">
        <v>306</v>
      </c>
      <c r="F24" s="1" t="s">
        <v>392</v>
      </c>
      <c r="G24" s="6" t="s">
        <v>40</v>
      </c>
      <c r="H24" s="1" t="s">
        <v>393</v>
      </c>
      <c r="I24" s="1" t="s">
        <v>394</v>
      </c>
      <c r="J24" s="1" t="s">
        <v>395</v>
      </c>
      <c r="K24" s="1"/>
      <c r="L24" s="6" t="s">
        <v>44</v>
      </c>
      <c r="M24" s="1"/>
      <c r="N24" s="1"/>
    </row>
    <row r="25" spans="1:14" x14ac:dyDescent="0.25">
      <c r="A25" s="5" t="s">
        <v>396</v>
      </c>
      <c r="B25" s="6" t="s">
        <v>18</v>
      </c>
      <c r="C25" s="1" t="s">
        <v>397</v>
      </c>
      <c r="D25" s="1" t="s">
        <v>54</v>
      </c>
      <c r="E25" s="1" t="s">
        <v>380</v>
      </c>
      <c r="F25" s="1" t="s">
        <v>398</v>
      </c>
      <c r="G25" s="6" t="s">
        <v>40</v>
      </c>
      <c r="H25" s="1" t="s">
        <v>399</v>
      </c>
      <c r="I25" s="1" t="s">
        <v>400</v>
      </c>
      <c r="J25" s="1" t="s">
        <v>401</v>
      </c>
      <c r="K25" s="1"/>
      <c r="L25" s="6" t="s">
        <v>44</v>
      </c>
      <c r="M25" s="1"/>
      <c r="N25" s="1"/>
    </row>
    <row r="26" spans="1:14" ht="25.5" x14ac:dyDescent="0.25">
      <c r="A26" s="5" t="s">
        <v>402</v>
      </c>
      <c r="B26" s="6" t="s">
        <v>18</v>
      </c>
      <c r="C26" s="1" t="s">
        <v>403</v>
      </c>
      <c r="D26" s="1" t="s">
        <v>54</v>
      </c>
      <c r="E26" s="1" t="s">
        <v>306</v>
      </c>
      <c r="F26" s="1" t="s">
        <v>398</v>
      </c>
      <c r="G26" s="6" t="s">
        <v>40</v>
      </c>
      <c r="H26" s="1" t="s">
        <v>404</v>
      </c>
      <c r="I26" s="1" t="s">
        <v>405</v>
      </c>
      <c r="J26" s="1" t="s">
        <v>406</v>
      </c>
      <c r="K26" s="1"/>
      <c r="L26" s="6" t="s">
        <v>44</v>
      </c>
      <c r="M26" s="1"/>
      <c r="N26" s="1"/>
    </row>
    <row r="27" spans="1:14" ht="25.5" x14ac:dyDescent="0.25">
      <c r="A27" s="5" t="s">
        <v>407</v>
      </c>
      <c r="B27" s="6" t="s">
        <v>18</v>
      </c>
      <c r="C27" s="1" t="s">
        <v>408</v>
      </c>
      <c r="D27" s="1" t="s">
        <v>20</v>
      </c>
      <c r="E27" s="1" t="s">
        <v>306</v>
      </c>
      <c r="F27" s="1" t="s">
        <v>409</v>
      </c>
      <c r="G27" s="6" t="s">
        <v>63</v>
      </c>
      <c r="H27" s="1" t="s">
        <v>410</v>
      </c>
      <c r="I27" s="1" t="s">
        <v>411</v>
      </c>
      <c r="J27" s="1" t="s">
        <v>412</v>
      </c>
      <c r="K27" s="1"/>
      <c r="L27" s="6" t="s">
        <v>44</v>
      </c>
      <c r="M27" s="1"/>
      <c r="N27" s="1"/>
    </row>
    <row r="28" spans="1:14" ht="25.5" x14ac:dyDescent="0.25">
      <c r="A28" s="5" t="s">
        <v>413</v>
      </c>
      <c r="B28" s="6" t="s">
        <v>18</v>
      </c>
      <c r="C28" s="1" t="s">
        <v>414</v>
      </c>
      <c r="D28" s="1" t="s">
        <v>74</v>
      </c>
      <c r="E28" s="1" t="s">
        <v>369</v>
      </c>
      <c r="F28" s="1" t="s">
        <v>415</v>
      </c>
      <c r="G28" s="6" t="s">
        <v>91</v>
      </c>
      <c r="H28" s="1" t="s">
        <v>416</v>
      </c>
      <c r="I28" s="1" t="s">
        <v>417</v>
      </c>
      <c r="J28" s="1" t="s">
        <v>418</v>
      </c>
      <c r="K28" s="1"/>
      <c r="L28" s="6" t="s">
        <v>44</v>
      </c>
      <c r="M28" s="1"/>
      <c r="N28" s="1"/>
    </row>
    <row r="29" spans="1:14" ht="25.5" x14ac:dyDescent="0.25">
      <c r="A29" s="5" t="s">
        <v>419</v>
      </c>
      <c r="B29" s="6" t="s">
        <v>18</v>
      </c>
      <c r="C29" s="1" t="s">
        <v>420</v>
      </c>
      <c r="D29" s="1" t="s">
        <v>37</v>
      </c>
      <c r="E29" s="1" t="s">
        <v>306</v>
      </c>
      <c r="F29" s="1" t="s">
        <v>392</v>
      </c>
      <c r="G29" s="6" t="s">
        <v>40</v>
      </c>
      <c r="H29" s="1" t="s">
        <v>421</v>
      </c>
      <c r="I29" s="1" t="s">
        <v>315</v>
      </c>
      <c r="J29" s="1" t="s">
        <v>422</v>
      </c>
      <c r="K29" s="1"/>
      <c r="L29" s="6" t="s">
        <v>44</v>
      </c>
      <c r="M29" s="1"/>
      <c r="N29" s="1"/>
    </row>
    <row r="30" spans="1:14" ht="76.5" x14ac:dyDescent="0.25">
      <c r="A30" s="5" t="s">
        <v>246</v>
      </c>
      <c r="B30" s="6" t="s">
        <v>9</v>
      </c>
      <c r="C30" s="1" t="s">
        <v>247</v>
      </c>
      <c r="D30" s="1" t="s">
        <v>37</v>
      </c>
      <c r="E30" s="1" t="s">
        <v>38</v>
      </c>
      <c r="F30" s="1" t="s">
        <v>248</v>
      </c>
      <c r="G30" s="6" t="s">
        <v>40</v>
      </c>
      <c r="H30" s="1" t="s">
        <v>249</v>
      </c>
      <c r="I30" s="1" t="s">
        <v>250</v>
      </c>
      <c r="J30" s="1" t="s">
        <v>251</v>
      </c>
      <c r="K30" s="1" t="s">
        <v>251</v>
      </c>
      <c r="L30" s="6" t="s">
        <v>459</v>
      </c>
      <c r="M30" s="14" t="s">
        <v>491</v>
      </c>
      <c r="N30" s="1" t="s">
        <v>252</v>
      </c>
    </row>
    <row r="31" spans="1:14" ht="51" x14ac:dyDescent="0.25">
      <c r="A31" s="5" t="s">
        <v>253</v>
      </c>
      <c r="B31" s="6" t="s">
        <v>9</v>
      </c>
      <c r="C31" s="1" t="s">
        <v>254</v>
      </c>
      <c r="D31" s="1" t="s">
        <v>74</v>
      </c>
      <c r="E31" s="1" t="s">
        <v>255</v>
      </c>
      <c r="F31" s="1" t="s">
        <v>256</v>
      </c>
      <c r="G31" s="6" t="s">
        <v>40</v>
      </c>
      <c r="H31" s="1" t="s">
        <v>493</v>
      </c>
      <c r="I31" s="1" t="s">
        <v>492</v>
      </c>
      <c r="J31" s="1" t="s">
        <v>257</v>
      </c>
      <c r="K31" s="1" t="s">
        <v>257</v>
      </c>
      <c r="L31" s="6" t="s">
        <v>459</v>
      </c>
      <c r="M31" s="14" t="s">
        <v>494</v>
      </c>
      <c r="N31" s="1" t="s">
        <v>252</v>
      </c>
    </row>
    <row r="32" spans="1:14" ht="51" x14ac:dyDescent="0.25">
      <c r="A32" s="5" t="s">
        <v>258</v>
      </c>
      <c r="B32" s="6" t="s">
        <v>9</v>
      </c>
      <c r="C32" s="1" t="s">
        <v>259</v>
      </c>
      <c r="D32" s="1" t="s">
        <v>74</v>
      </c>
      <c r="E32" s="1" t="s">
        <v>260</v>
      </c>
      <c r="F32" s="1" t="s">
        <v>261</v>
      </c>
      <c r="G32" s="6" t="s">
        <v>40</v>
      </c>
      <c r="H32" s="1" t="s">
        <v>249</v>
      </c>
      <c r="I32" s="1" t="s">
        <v>262</v>
      </c>
      <c r="J32" s="1" t="s">
        <v>263</v>
      </c>
      <c r="K32" s="1" t="s">
        <v>263</v>
      </c>
      <c r="L32" s="6" t="s">
        <v>459</v>
      </c>
      <c r="M32" s="14" t="s">
        <v>495</v>
      </c>
      <c r="N32" s="1"/>
    </row>
    <row r="33" spans="1:14" ht="51" x14ac:dyDescent="0.25">
      <c r="A33" s="5" t="s">
        <v>264</v>
      </c>
      <c r="B33" s="6" t="s">
        <v>9</v>
      </c>
      <c r="C33" s="1" t="s">
        <v>265</v>
      </c>
      <c r="D33" s="1" t="s">
        <v>54</v>
      </c>
      <c r="E33" s="1" t="s">
        <v>266</v>
      </c>
      <c r="F33" s="1" t="s">
        <v>267</v>
      </c>
      <c r="G33" s="6" t="s">
        <v>63</v>
      </c>
      <c r="H33" s="1" t="s">
        <v>249</v>
      </c>
      <c r="I33" s="1" t="s">
        <v>268</v>
      </c>
      <c r="J33" s="1" t="s">
        <v>269</v>
      </c>
      <c r="K33" s="1"/>
      <c r="L33" s="6" t="s">
        <v>44</v>
      </c>
      <c r="M33" s="1"/>
      <c r="N33" s="1" t="s">
        <v>270</v>
      </c>
    </row>
    <row r="34" spans="1:14" ht="51" x14ac:dyDescent="0.25">
      <c r="A34" s="5" t="s">
        <v>271</v>
      </c>
      <c r="B34" s="6" t="s">
        <v>9</v>
      </c>
      <c r="C34" s="1" t="s">
        <v>272</v>
      </c>
      <c r="D34" s="1" t="s">
        <v>54</v>
      </c>
      <c r="E34" s="1" t="s">
        <v>273</v>
      </c>
      <c r="F34" s="1" t="s">
        <v>274</v>
      </c>
      <c r="G34" s="6" t="s">
        <v>63</v>
      </c>
      <c r="H34" s="1" t="s">
        <v>249</v>
      </c>
      <c r="I34" s="1" t="s">
        <v>275</v>
      </c>
      <c r="J34" s="1" t="s">
        <v>276</v>
      </c>
      <c r="K34" s="1"/>
      <c r="L34" s="6" t="s">
        <v>44</v>
      </c>
      <c r="M34" s="1"/>
      <c r="N34" s="1"/>
    </row>
    <row r="35" spans="1:14" ht="63.75" x14ac:dyDescent="0.25">
      <c r="A35" s="5" t="s">
        <v>277</v>
      </c>
      <c r="B35" s="6" t="s">
        <v>9</v>
      </c>
      <c r="C35" s="1" t="s">
        <v>278</v>
      </c>
      <c r="D35" s="1" t="s">
        <v>37</v>
      </c>
      <c r="E35" s="1" t="s">
        <v>279</v>
      </c>
      <c r="F35" s="1" t="s">
        <v>280</v>
      </c>
      <c r="G35" s="6" t="s">
        <v>40</v>
      </c>
      <c r="H35" s="1" t="s">
        <v>249</v>
      </c>
      <c r="I35" s="1" t="s">
        <v>281</v>
      </c>
      <c r="J35" s="1" t="s">
        <v>282</v>
      </c>
      <c r="K35" s="1" t="s">
        <v>282</v>
      </c>
      <c r="L35" s="6" t="s">
        <v>459</v>
      </c>
      <c r="M35" s="14" t="s">
        <v>496</v>
      </c>
      <c r="N35" s="1" t="s">
        <v>283</v>
      </c>
    </row>
    <row r="36" spans="1:14" ht="51" x14ac:dyDescent="0.25">
      <c r="A36" s="5" t="s">
        <v>284</v>
      </c>
      <c r="B36" s="6" t="s">
        <v>9</v>
      </c>
      <c r="C36" s="1" t="s">
        <v>285</v>
      </c>
      <c r="D36" s="1" t="s">
        <v>20</v>
      </c>
      <c r="E36" s="1" t="s">
        <v>241</v>
      </c>
      <c r="F36" s="1" t="s">
        <v>286</v>
      </c>
      <c r="G36" s="6" t="s">
        <v>40</v>
      </c>
      <c r="H36" s="1" t="s">
        <v>287</v>
      </c>
      <c r="I36" s="1" t="s">
        <v>288</v>
      </c>
      <c r="J36" s="1" t="s">
        <v>289</v>
      </c>
      <c r="K36" s="1" t="s">
        <v>497</v>
      </c>
      <c r="L36" s="6" t="s">
        <v>459</v>
      </c>
      <c r="M36" s="14" t="s">
        <v>503</v>
      </c>
      <c r="N36" s="1"/>
    </row>
    <row r="37" spans="1:14" ht="76.5" x14ac:dyDescent="0.25">
      <c r="A37" s="5" t="s">
        <v>502</v>
      </c>
      <c r="B37" s="6" t="s">
        <v>9</v>
      </c>
      <c r="C37" s="1" t="s">
        <v>290</v>
      </c>
      <c r="D37" s="1" t="s">
        <v>20</v>
      </c>
      <c r="E37" s="1" t="s">
        <v>291</v>
      </c>
      <c r="F37" s="1" t="s">
        <v>292</v>
      </c>
      <c r="G37" s="6" t="s">
        <v>40</v>
      </c>
      <c r="H37" s="1" t="s">
        <v>293</v>
      </c>
      <c r="I37" s="1" t="s">
        <v>294</v>
      </c>
      <c r="J37" s="1" t="s">
        <v>295</v>
      </c>
      <c r="K37" s="1"/>
      <c r="L37" s="6" t="s">
        <v>44</v>
      </c>
      <c r="M37" s="1"/>
      <c r="N37" s="1" t="s">
        <v>296</v>
      </c>
    </row>
    <row r="38" spans="1:14" ht="63.75" x14ac:dyDescent="0.25">
      <c r="A38" s="5" t="s">
        <v>21</v>
      </c>
      <c r="B38" s="6" t="s">
        <v>9</v>
      </c>
      <c r="C38" s="1" t="s">
        <v>297</v>
      </c>
      <c r="D38" s="1" t="s">
        <v>298</v>
      </c>
      <c r="E38" s="1" t="s">
        <v>299</v>
      </c>
      <c r="F38" s="1" t="s">
        <v>300</v>
      </c>
      <c r="G38" s="6" t="s">
        <v>63</v>
      </c>
      <c r="H38" s="1" t="s">
        <v>249</v>
      </c>
      <c r="I38" s="1" t="s">
        <v>301</v>
      </c>
      <c r="J38" s="1" t="s">
        <v>302</v>
      </c>
      <c r="K38" s="1"/>
      <c r="L38" s="6" t="s">
        <v>44</v>
      </c>
      <c r="M38" s="1"/>
      <c r="N38" s="1" t="s">
        <v>303</v>
      </c>
    </row>
    <row r="39" spans="1:14" ht="25.5" x14ac:dyDescent="0.25">
      <c r="A39" s="5" t="s">
        <v>304</v>
      </c>
      <c r="B39" s="6" t="s">
        <v>11</v>
      </c>
      <c r="C39" s="1" t="s">
        <v>305</v>
      </c>
      <c r="D39" s="1" t="s">
        <v>37</v>
      </c>
      <c r="E39" s="1" t="s">
        <v>306</v>
      </c>
      <c r="F39" s="1" t="s">
        <v>307</v>
      </c>
      <c r="G39" s="6" t="s">
        <v>40</v>
      </c>
      <c r="H39" s="1" t="s">
        <v>308</v>
      </c>
      <c r="I39" s="1" t="s">
        <v>309</v>
      </c>
      <c r="J39" s="1" t="s">
        <v>310</v>
      </c>
      <c r="K39" s="1"/>
      <c r="L39" s="6" t="s">
        <v>44</v>
      </c>
      <c r="M39" s="1"/>
      <c r="N39" s="1"/>
    </row>
    <row r="40" spans="1:14" ht="25.5" x14ac:dyDescent="0.25">
      <c r="A40" s="5" t="s">
        <v>311</v>
      </c>
      <c r="B40" s="6" t="s">
        <v>11</v>
      </c>
      <c r="C40" s="1" t="s">
        <v>312</v>
      </c>
      <c r="D40" s="1" t="s">
        <v>20</v>
      </c>
      <c r="E40" s="1" t="s">
        <v>306</v>
      </c>
      <c r="F40" s="1" t="s">
        <v>313</v>
      </c>
      <c r="G40" s="6" t="s">
        <v>91</v>
      </c>
      <c r="H40" s="1" t="s">
        <v>314</v>
      </c>
      <c r="I40" s="1" t="s">
        <v>315</v>
      </c>
      <c r="J40" s="1" t="s">
        <v>316</v>
      </c>
      <c r="K40" s="1"/>
      <c r="L40" s="6" t="s">
        <v>44</v>
      </c>
      <c r="M40" s="1"/>
      <c r="N40" s="1"/>
    </row>
    <row r="41" spans="1:14" ht="25.5" x14ac:dyDescent="0.25">
      <c r="A41" s="5" t="s">
        <v>317</v>
      </c>
      <c r="B41" s="6" t="s">
        <v>11</v>
      </c>
      <c r="C41" s="1" t="s">
        <v>318</v>
      </c>
      <c r="D41" s="1" t="s">
        <v>37</v>
      </c>
      <c r="E41" s="1" t="s">
        <v>306</v>
      </c>
      <c r="F41" s="1" t="s">
        <v>307</v>
      </c>
      <c r="G41" s="6" t="s">
        <v>63</v>
      </c>
      <c r="H41" s="1" t="s">
        <v>319</v>
      </c>
      <c r="I41" s="1" t="s">
        <v>320</v>
      </c>
      <c r="J41" s="1" t="s">
        <v>321</v>
      </c>
      <c r="K41" s="1"/>
      <c r="L41" s="6" t="s">
        <v>44</v>
      </c>
      <c r="M41" s="1"/>
      <c r="N41" s="1"/>
    </row>
    <row r="42" spans="1:14" ht="25.5" x14ac:dyDescent="0.25">
      <c r="A42" s="5" t="s">
        <v>322</v>
      </c>
      <c r="B42" s="6" t="s">
        <v>11</v>
      </c>
      <c r="C42" s="1" t="s">
        <v>323</v>
      </c>
      <c r="D42" s="1" t="s">
        <v>37</v>
      </c>
      <c r="E42" s="1" t="s">
        <v>306</v>
      </c>
      <c r="F42" s="1" t="s">
        <v>324</v>
      </c>
      <c r="G42" s="6" t="s">
        <v>40</v>
      </c>
      <c r="H42" s="1" t="s">
        <v>325</v>
      </c>
      <c r="I42" s="1" t="s">
        <v>315</v>
      </c>
      <c r="J42" s="1" t="s">
        <v>326</v>
      </c>
      <c r="K42" s="1"/>
      <c r="L42" s="6" t="s">
        <v>44</v>
      </c>
      <c r="M42" s="1"/>
      <c r="N42" s="1"/>
    </row>
    <row r="43" spans="1:14" x14ac:dyDescent="0.25">
      <c r="A43" s="5" t="s">
        <v>327</v>
      </c>
      <c r="B43" s="6" t="s">
        <v>11</v>
      </c>
      <c r="C43" s="1" t="s">
        <v>328</v>
      </c>
      <c r="D43" s="1" t="s">
        <v>54</v>
      </c>
      <c r="E43" s="1" t="s">
        <v>329</v>
      </c>
      <c r="F43" s="1" t="s">
        <v>330</v>
      </c>
      <c r="G43" s="6" t="s">
        <v>40</v>
      </c>
      <c r="H43" s="1" t="s">
        <v>331</v>
      </c>
      <c r="I43" s="1" t="s">
        <v>332</v>
      </c>
      <c r="J43" s="1" t="s">
        <v>333</v>
      </c>
      <c r="K43" s="1"/>
      <c r="L43" s="6" t="s">
        <v>44</v>
      </c>
      <c r="M43" s="1"/>
      <c r="N43" s="1"/>
    </row>
    <row r="44" spans="1:14" ht="25.5" x14ac:dyDescent="0.25">
      <c r="A44" s="5" t="s">
        <v>334</v>
      </c>
      <c r="B44" s="6" t="s">
        <v>14</v>
      </c>
      <c r="C44" s="1" t="s">
        <v>335</v>
      </c>
      <c r="D44" s="1" t="s">
        <v>37</v>
      </c>
      <c r="E44" s="1" t="s">
        <v>306</v>
      </c>
      <c r="F44" s="1" t="s">
        <v>336</v>
      </c>
      <c r="G44" s="6" t="s">
        <v>40</v>
      </c>
      <c r="H44" s="1" t="s">
        <v>337</v>
      </c>
      <c r="I44" s="1" t="s">
        <v>315</v>
      </c>
      <c r="J44" s="1" t="s">
        <v>338</v>
      </c>
      <c r="K44" s="1"/>
      <c r="L44" s="6" t="s">
        <v>44</v>
      </c>
      <c r="M44" s="1"/>
      <c r="N44" s="1"/>
    </row>
    <row r="45" spans="1:14" ht="25.5" x14ac:dyDescent="0.25">
      <c r="A45" s="5" t="s">
        <v>339</v>
      </c>
      <c r="B45" s="6" t="s">
        <v>14</v>
      </c>
      <c r="C45" s="1" t="s">
        <v>340</v>
      </c>
      <c r="D45" s="1" t="s">
        <v>37</v>
      </c>
      <c r="E45" s="1" t="s">
        <v>306</v>
      </c>
      <c r="F45" s="1" t="s">
        <v>336</v>
      </c>
      <c r="G45" s="6" t="s">
        <v>40</v>
      </c>
      <c r="H45" s="1" t="s">
        <v>341</v>
      </c>
      <c r="I45" s="1" t="s">
        <v>315</v>
      </c>
      <c r="J45" s="1" t="s">
        <v>342</v>
      </c>
      <c r="K45" s="1"/>
      <c r="L45" s="6" t="s">
        <v>44</v>
      </c>
      <c r="M45" s="1"/>
      <c r="N45" s="1"/>
    </row>
    <row r="46" spans="1:14" ht="25.5" x14ac:dyDescent="0.25">
      <c r="A46" s="5" t="s">
        <v>343</v>
      </c>
      <c r="B46" s="6" t="s">
        <v>14</v>
      </c>
      <c r="C46" s="1" t="s">
        <v>344</v>
      </c>
      <c r="D46" s="1" t="s">
        <v>54</v>
      </c>
      <c r="E46" s="1" t="s">
        <v>306</v>
      </c>
      <c r="F46" s="1" t="s">
        <v>345</v>
      </c>
      <c r="G46" s="6" t="s">
        <v>40</v>
      </c>
      <c r="H46" s="1" t="s">
        <v>346</v>
      </c>
      <c r="I46" s="1" t="s">
        <v>315</v>
      </c>
      <c r="J46" s="1" t="s">
        <v>347</v>
      </c>
      <c r="K46" s="1"/>
      <c r="L46" s="6" t="s">
        <v>44</v>
      </c>
      <c r="M46" s="1"/>
      <c r="N46" s="1"/>
    </row>
    <row r="47" spans="1:14" x14ac:dyDescent="0.25">
      <c r="A47" s="5" t="s">
        <v>348</v>
      </c>
      <c r="B47" s="6" t="s">
        <v>14</v>
      </c>
      <c r="C47" s="1" t="s">
        <v>349</v>
      </c>
      <c r="D47" s="1" t="s">
        <v>54</v>
      </c>
      <c r="E47" s="1" t="s">
        <v>306</v>
      </c>
      <c r="F47" s="1" t="s">
        <v>345</v>
      </c>
      <c r="G47" s="6" t="s">
        <v>40</v>
      </c>
      <c r="H47" s="1" t="s">
        <v>350</v>
      </c>
      <c r="I47" s="1" t="s">
        <v>315</v>
      </c>
      <c r="J47" s="1" t="s">
        <v>351</v>
      </c>
      <c r="K47" s="1"/>
      <c r="L47" s="6" t="s">
        <v>44</v>
      </c>
      <c r="M47" s="1"/>
      <c r="N47" s="1" t="s">
        <v>352</v>
      </c>
    </row>
    <row r="48" spans="1:14" x14ac:dyDescent="0.25">
      <c r="A48" s="5" t="s">
        <v>353</v>
      </c>
      <c r="B48" s="6" t="s">
        <v>14</v>
      </c>
      <c r="C48" s="1" t="s">
        <v>354</v>
      </c>
      <c r="D48" s="1" t="s">
        <v>54</v>
      </c>
      <c r="E48" s="1" t="s">
        <v>306</v>
      </c>
      <c r="F48" s="1" t="s">
        <v>345</v>
      </c>
      <c r="G48" s="6" t="s">
        <v>63</v>
      </c>
      <c r="H48" s="1" t="s">
        <v>355</v>
      </c>
      <c r="I48" s="1" t="s">
        <v>315</v>
      </c>
      <c r="J48" s="1" t="s">
        <v>356</v>
      </c>
      <c r="K48" s="1"/>
      <c r="L48" s="6" t="s">
        <v>44</v>
      </c>
      <c r="M48" s="1"/>
      <c r="N48" s="1"/>
    </row>
    <row r="49" spans="1:14" ht="25.5" x14ac:dyDescent="0.25">
      <c r="A49" s="5" t="s">
        <v>357</v>
      </c>
      <c r="B49" s="6" t="s">
        <v>14</v>
      </c>
      <c r="C49" s="1" t="s">
        <v>358</v>
      </c>
      <c r="D49" s="1" t="s">
        <v>20</v>
      </c>
      <c r="E49" s="1" t="s">
        <v>306</v>
      </c>
      <c r="F49" s="1" t="s">
        <v>359</v>
      </c>
      <c r="G49" s="6" t="s">
        <v>63</v>
      </c>
      <c r="H49" s="1" t="s">
        <v>360</v>
      </c>
      <c r="I49" s="1" t="s">
        <v>315</v>
      </c>
      <c r="J49" s="1" t="s">
        <v>361</v>
      </c>
      <c r="K49" s="1"/>
      <c r="L49" s="6" t="s">
        <v>44</v>
      </c>
      <c r="M49" s="1"/>
      <c r="N49" s="1"/>
    </row>
    <row r="50" spans="1:14" ht="25.5" x14ac:dyDescent="0.25">
      <c r="A50" s="5" t="s">
        <v>362</v>
      </c>
      <c r="B50" s="6" t="s">
        <v>16</v>
      </c>
      <c r="C50" s="1" t="s">
        <v>363</v>
      </c>
      <c r="D50" s="1" t="s">
        <v>37</v>
      </c>
      <c r="E50" s="1" t="s">
        <v>306</v>
      </c>
      <c r="F50" s="1" t="s">
        <v>364</v>
      </c>
      <c r="G50" s="6" t="s">
        <v>40</v>
      </c>
      <c r="H50" s="1" t="s">
        <v>308</v>
      </c>
      <c r="I50" s="1" t="s">
        <v>365</v>
      </c>
      <c r="J50" s="1" t="s">
        <v>366</v>
      </c>
      <c r="K50" s="1"/>
      <c r="L50" s="6" t="s">
        <v>44</v>
      </c>
      <c r="M50" s="1"/>
      <c r="N50" s="1"/>
    </row>
    <row r="51" spans="1:14" ht="25.5" x14ac:dyDescent="0.25">
      <c r="A51" s="5" t="s">
        <v>367</v>
      </c>
      <c r="B51" s="6" t="s">
        <v>16</v>
      </c>
      <c r="C51" s="1" t="s">
        <v>368</v>
      </c>
      <c r="D51" s="1" t="s">
        <v>74</v>
      </c>
      <c r="E51" s="1" t="s">
        <v>369</v>
      </c>
      <c r="F51" s="1" t="s">
        <v>364</v>
      </c>
      <c r="G51" s="6" t="s">
        <v>40</v>
      </c>
      <c r="H51" s="1" t="s">
        <v>308</v>
      </c>
      <c r="I51" s="1" t="s">
        <v>370</v>
      </c>
      <c r="J51" s="1" t="s">
        <v>371</v>
      </c>
      <c r="K51" s="1"/>
      <c r="L51" s="6" t="s">
        <v>44</v>
      </c>
      <c r="M51" s="1"/>
      <c r="N51" s="1" t="s">
        <v>372</v>
      </c>
    </row>
    <row r="52" spans="1:14" ht="25.5" x14ac:dyDescent="0.25">
      <c r="A52" s="5" t="s">
        <v>373</v>
      </c>
      <c r="B52" s="6" t="s">
        <v>16</v>
      </c>
      <c r="C52" s="1" t="s">
        <v>374</v>
      </c>
      <c r="D52" s="1" t="s">
        <v>54</v>
      </c>
      <c r="E52" s="1" t="s">
        <v>369</v>
      </c>
      <c r="F52" s="1" t="s">
        <v>375</v>
      </c>
      <c r="G52" s="6" t="s">
        <v>40</v>
      </c>
      <c r="H52" s="1" t="s">
        <v>308</v>
      </c>
      <c r="I52" s="1" t="s">
        <v>376</v>
      </c>
      <c r="J52" s="1" t="s">
        <v>377</v>
      </c>
      <c r="K52" s="1"/>
      <c r="L52" s="6" t="s">
        <v>44</v>
      </c>
      <c r="M52" s="1"/>
      <c r="N52" s="1"/>
    </row>
    <row r="53" spans="1:14" ht="25.5" x14ac:dyDescent="0.25">
      <c r="A53" s="5" t="s">
        <v>378</v>
      </c>
      <c r="B53" s="6" t="s">
        <v>16</v>
      </c>
      <c r="C53" s="1" t="s">
        <v>379</v>
      </c>
      <c r="D53" s="1" t="s">
        <v>54</v>
      </c>
      <c r="E53" s="1" t="s">
        <v>380</v>
      </c>
      <c r="F53" s="1" t="s">
        <v>375</v>
      </c>
      <c r="G53" s="6" t="s">
        <v>63</v>
      </c>
      <c r="H53" s="1" t="s">
        <v>308</v>
      </c>
      <c r="I53" s="1" t="s">
        <v>381</v>
      </c>
      <c r="J53" s="1" t="s">
        <v>382</v>
      </c>
      <c r="K53" s="1"/>
      <c r="L53" s="6" t="s">
        <v>44</v>
      </c>
      <c r="M53" s="1"/>
      <c r="N53" s="1"/>
    </row>
    <row r="54" spans="1:14" ht="25.5" x14ac:dyDescent="0.25">
      <c r="A54" s="5" t="s">
        <v>383</v>
      </c>
      <c r="B54" s="6" t="s">
        <v>16</v>
      </c>
      <c r="C54" s="1" t="s">
        <v>384</v>
      </c>
      <c r="D54" s="1" t="s">
        <v>20</v>
      </c>
      <c r="E54" s="1" t="s">
        <v>306</v>
      </c>
      <c r="F54" s="1" t="s">
        <v>385</v>
      </c>
      <c r="G54" s="6" t="s">
        <v>40</v>
      </c>
      <c r="H54" s="1" t="s">
        <v>386</v>
      </c>
      <c r="I54" s="1" t="s">
        <v>387</v>
      </c>
      <c r="J54" s="1" t="s">
        <v>388</v>
      </c>
      <c r="K54" s="1"/>
      <c r="L54" s="6" t="s">
        <v>44</v>
      </c>
      <c r="M54" s="1"/>
      <c r="N54" s="1" t="s">
        <v>389</v>
      </c>
    </row>
    <row r="55" spans="1:14" ht="51" x14ac:dyDescent="0.25">
      <c r="A55" s="5" t="s">
        <v>35</v>
      </c>
      <c r="B55" s="6" t="s">
        <v>2</v>
      </c>
      <c r="C55" s="1" t="s">
        <v>36</v>
      </c>
      <c r="D55" s="1" t="s">
        <v>37</v>
      </c>
      <c r="E55" s="1" t="s">
        <v>38</v>
      </c>
      <c r="F55" s="1" t="s">
        <v>39</v>
      </c>
      <c r="G55" s="6" t="s">
        <v>40</v>
      </c>
      <c r="H55" s="1" t="s">
        <v>41</v>
      </c>
      <c r="I55" s="1" t="s">
        <v>42</v>
      </c>
      <c r="J55" s="1" t="s">
        <v>43</v>
      </c>
      <c r="K55" s="1" t="s">
        <v>458</v>
      </c>
      <c r="L55" s="6" t="s">
        <v>459</v>
      </c>
      <c r="M55" s="14" t="s">
        <v>460</v>
      </c>
      <c r="N55" s="1"/>
    </row>
    <row r="56" spans="1:14" ht="38.25" x14ac:dyDescent="0.25">
      <c r="A56" s="5" t="s">
        <v>45</v>
      </c>
      <c r="B56" s="6" t="s">
        <v>2</v>
      </c>
      <c r="C56" s="1" t="s">
        <v>46</v>
      </c>
      <c r="D56" s="1" t="s">
        <v>37</v>
      </c>
      <c r="E56" s="1" t="s">
        <v>38</v>
      </c>
      <c r="F56" s="1" t="s">
        <v>47</v>
      </c>
      <c r="G56" s="6" t="s">
        <v>40</v>
      </c>
      <c r="H56" s="1" t="s">
        <v>48</v>
      </c>
      <c r="I56" s="1" t="s">
        <v>49</v>
      </c>
      <c r="J56" s="1" t="s">
        <v>50</v>
      </c>
      <c r="K56" s="1" t="s">
        <v>461</v>
      </c>
      <c r="L56" s="6" t="s">
        <v>459</v>
      </c>
      <c r="M56" s="14" t="s">
        <v>462</v>
      </c>
      <c r="N56" s="1" t="s">
        <v>51</v>
      </c>
    </row>
    <row r="57" spans="1:14" ht="51" x14ac:dyDescent="0.25">
      <c r="A57" s="5" t="s">
        <v>52</v>
      </c>
      <c r="B57" s="6" t="s">
        <v>2</v>
      </c>
      <c r="C57" s="1" t="s">
        <v>53</v>
      </c>
      <c r="D57" s="1" t="s">
        <v>54</v>
      </c>
      <c r="E57" s="1" t="s">
        <v>55</v>
      </c>
      <c r="F57" s="1" t="s">
        <v>56</v>
      </c>
      <c r="G57" s="6" t="s">
        <v>40</v>
      </c>
      <c r="H57" s="1" t="s">
        <v>57</v>
      </c>
      <c r="I57" s="1" t="s">
        <v>58</v>
      </c>
      <c r="J57" s="1" t="s">
        <v>59</v>
      </c>
      <c r="K57" s="1" t="s">
        <v>464</v>
      </c>
      <c r="L57" s="6" t="s">
        <v>459</v>
      </c>
      <c r="M57" s="14" t="s">
        <v>463</v>
      </c>
      <c r="N57" s="1"/>
    </row>
    <row r="58" spans="1:14" ht="38.25" x14ac:dyDescent="0.25">
      <c r="A58" s="5" t="s">
        <v>60</v>
      </c>
      <c r="B58" s="6" t="s">
        <v>2</v>
      </c>
      <c r="C58" s="1" t="s">
        <v>61</v>
      </c>
      <c r="D58" s="1" t="s">
        <v>54</v>
      </c>
      <c r="E58" s="1" t="s">
        <v>62</v>
      </c>
      <c r="F58" s="1" t="s">
        <v>56</v>
      </c>
      <c r="G58" s="6" t="s">
        <v>63</v>
      </c>
      <c r="H58" s="1" t="s">
        <v>48</v>
      </c>
      <c r="I58" s="1" t="s">
        <v>64</v>
      </c>
      <c r="J58" s="1" t="s">
        <v>65</v>
      </c>
      <c r="K58" s="1" t="s">
        <v>65</v>
      </c>
      <c r="L58" s="6" t="s">
        <v>459</v>
      </c>
      <c r="M58" s="14" t="s">
        <v>512</v>
      </c>
      <c r="N58" s="1"/>
    </row>
    <row r="59" spans="1:14" ht="38.25" x14ac:dyDescent="0.25">
      <c r="A59" s="5" t="s">
        <v>66</v>
      </c>
      <c r="B59" s="6" t="s">
        <v>2</v>
      </c>
      <c r="C59" s="1" t="s">
        <v>67</v>
      </c>
      <c r="D59" s="1" t="s">
        <v>54</v>
      </c>
      <c r="E59" s="1" t="s">
        <v>68</v>
      </c>
      <c r="F59" s="1" t="s">
        <v>69</v>
      </c>
      <c r="G59" s="6" t="s">
        <v>40</v>
      </c>
      <c r="H59" s="1" t="s">
        <v>48</v>
      </c>
      <c r="I59" s="1" t="s">
        <v>70</v>
      </c>
      <c r="J59" s="1" t="s">
        <v>465</v>
      </c>
      <c r="K59" s="1" t="s">
        <v>467</v>
      </c>
      <c r="L59" s="6" t="s">
        <v>459</v>
      </c>
      <c r="M59" s="14" t="s">
        <v>466</v>
      </c>
      <c r="N59" s="1" t="s">
        <v>71</v>
      </c>
    </row>
    <row r="60" spans="1:14" ht="38.25" x14ac:dyDescent="0.25">
      <c r="A60" s="5" t="s">
        <v>72</v>
      </c>
      <c r="B60" s="6" t="s">
        <v>2</v>
      </c>
      <c r="C60" s="1" t="s">
        <v>73</v>
      </c>
      <c r="D60" s="1" t="s">
        <v>74</v>
      </c>
      <c r="E60" s="1" t="s">
        <v>75</v>
      </c>
      <c r="F60" s="1" t="s">
        <v>76</v>
      </c>
      <c r="G60" s="6" t="s">
        <v>40</v>
      </c>
      <c r="H60" s="1" t="s">
        <v>57</v>
      </c>
      <c r="I60" s="1" t="s">
        <v>77</v>
      </c>
      <c r="J60" s="1" t="s">
        <v>78</v>
      </c>
      <c r="K60" s="1" t="s">
        <v>469</v>
      </c>
      <c r="L60" s="6" t="s">
        <v>459</v>
      </c>
      <c r="M60" s="14" t="s">
        <v>468</v>
      </c>
      <c r="N60" s="1" t="s">
        <v>79</v>
      </c>
    </row>
    <row r="61" spans="1:14" ht="38.25" x14ac:dyDescent="0.25">
      <c r="A61" s="5" t="s">
        <v>80</v>
      </c>
      <c r="B61" s="6" t="s">
        <v>2</v>
      </c>
      <c r="C61" s="1" t="s">
        <v>81</v>
      </c>
      <c r="D61" s="1" t="s">
        <v>74</v>
      </c>
      <c r="E61" s="1" t="s">
        <v>82</v>
      </c>
      <c r="F61" s="1" t="s">
        <v>83</v>
      </c>
      <c r="G61" s="6" t="s">
        <v>40</v>
      </c>
      <c r="H61" s="1" t="s">
        <v>57</v>
      </c>
      <c r="I61" s="1" t="s">
        <v>84</v>
      </c>
      <c r="J61" s="1" t="s">
        <v>85</v>
      </c>
      <c r="K61" s="1" t="s">
        <v>470</v>
      </c>
      <c r="L61" s="6" t="s">
        <v>459</v>
      </c>
      <c r="M61" s="14" t="s">
        <v>471</v>
      </c>
      <c r="N61" s="1" t="s">
        <v>86</v>
      </c>
    </row>
    <row r="62" spans="1:14" ht="38.25" x14ac:dyDescent="0.25">
      <c r="A62" s="5" t="s">
        <v>87</v>
      </c>
      <c r="B62" s="6" t="s">
        <v>2</v>
      </c>
      <c r="C62" s="1" t="s">
        <v>88</v>
      </c>
      <c r="D62" s="1" t="s">
        <v>20</v>
      </c>
      <c r="E62" s="1" t="s">
        <v>89</v>
      </c>
      <c r="F62" s="1" t="s">
        <v>90</v>
      </c>
      <c r="G62" s="6" t="s">
        <v>91</v>
      </c>
      <c r="H62" s="1" t="s">
        <v>92</v>
      </c>
      <c r="I62" s="1" t="s">
        <v>93</v>
      </c>
      <c r="J62" s="1" t="s">
        <v>94</v>
      </c>
      <c r="K62" s="1" t="s">
        <v>94</v>
      </c>
      <c r="L62" s="6" t="s">
        <v>459</v>
      </c>
      <c r="M62" s="14" t="s">
        <v>513</v>
      </c>
      <c r="N62" s="1" t="s">
        <v>95</v>
      </c>
    </row>
    <row r="63" spans="1:14" ht="51" x14ac:dyDescent="0.25">
      <c r="A63" s="5" t="s">
        <v>96</v>
      </c>
      <c r="B63" s="6" t="s">
        <v>2</v>
      </c>
      <c r="C63" s="1" t="s">
        <v>97</v>
      </c>
      <c r="D63" s="1" t="s">
        <v>20</v>
      </c>
      <c r="E63" s="1" t="s">
        <v>98</v>
      </c>
      <c r="F63" s="1" t="s">
        <v>99</v>
      </c>
      <c r="G63" s="6" t="s">
        <v>40</v>
      </c>
      <c r="H63" s="1" t="s">
        <v>100</v>
      </c>
      <c r="I63" s="1" t="s">
        <v>101</v>
      </c>
      <c r="J63" s="1" t="s">
        <v>102</v>
      </c>
      <c r="K63" s="1" t="s">
        <v>472</v>
      </c>
      <c r="L63" s="6" t="s">
        <v>459</v>
      </c>
      <c r="M63" s="14" t="s">
        <v>473</v>
      </c>
      <c r="N63" s="1" t="s">
        <v>103</v>
      </c>
    </row>
    <row r="64" spans="1:14" ht="51" x14ac:dyDescent="0.25">
      <c r="A64" s="5" t="s">
        <v>104</v>
      </c>
      <c r="B64" s="6" t="s">
        <v>2</v>
      </c>
      <c r="C64" s="1" t="s">
        <v>105</v>
      </c>
      <c r="D64" s="1" t="s">
        <v>54</v>
      </c>
      <c r="E64" s="1" t="s">
        <v>106</v>
      </c>
      <c r="F64" s="1" t="s">
        <v>107</v>
      </c>
      <c r="G64" s="6" t="s">
        <v>91</v>
      </c>
      <c r="H64" s="1" t="s">
        <v>108</v>
      </c>
      <c r="I64" s="1" t="s">
        <v>109</v>
      </c>
      <c r="J64" s="1" t="s">
        <v>110</v>
      </c>
      <c r="K64" s="1" t="s">
        <v>514</v>
      </c>
      <c r="L64" s="6" t="s">
        <v>459</v>
      </c>
      <c r="M64" s="14" t="s">
        <v>515</v>
      </c>
      <c r="N64" s="1" t="s">
        <v>111</v>
      </c>
    </row>
    <row r="65" spans="1:14" ht="90.75" customHeight="1" x14ac:dyDescent="0.25">
      <c r="A65" s="5" t="s">
        <v>112</v>
      </c>
      <c r="B65" s="6" t="s">
        <v>2</v>
      </c>
      <c r="C65" s="1" t="s">
        <v>113</v>
      </c>
      <c r="D65" s="1" t="s">
        <v>54</v>
      </c>
      <c r="E65" s="1" t="s">
        <v>114</v>
      </c>
      <c r="F65" s="1" t="s">
        <v>115</v>
      </c>
      <c r="G65" s="6" t="s">
        <v>63</v>
      </c>
      <c r="H65" s="1" t="s">
        <v>116</v>
      </c>
      <c r="I65" s="1" t="s">
        <v>117</v>
      </c>
      <c r="J65" s="1" t="s">
        <v>118</v>
      </c>
      <c r="K65" s="1" t="s">
        <v>517</v>
      </c>
      <c r="L65" s="6" t="s">
        <v>459</v>
      </c>
      <c r="M65" s="14" t="s">
        <v>516</v>
      </c>
      <c r="N65" s="1" t="s">
        <v>119</v>
      </c>
    </row>
    <row r="66" spans="1:14" ht="51" x14ac:dyDescent="0.25">
      <c r="A66" s="15" t="s">
        <v>520</v>
      </c>
      <c r="B66" s="15" t="s">
        <v>518</v>
      </c>
      <c r="C66" s="16" t="s">
        <v>521</v>
      </c>
      <c r="D66" s="16" t="s">
        <v>37</v>
      </c>
      <c r="E66" s="16" t="s">
        <v>38</v>
      </c>
      <c r="F66" s="16" t="s">
        <v>522</v>
      </c>
      <c r="G66" s="15" t="s">
        <v>40</v>
      </c>
      <c r="H66" s="16" t="s">
        <v>523</v>
      </c>
      <c r="I66" s="16" t="s">
        <v>524</v>
      </c>
      <c r="J66" s="16" t="s">
        <v>525</v>
      </c>
      <c r="K66" s="16" t="s">
        <v>526</v>
      </c>
      <c r="L66" s="15" t="s">
        <v>459</v>
      </c>
      <c r="M66" s="16"/>
      <c r="N66" s="16" t="s">
        <v>527</v>
      </c>
    </row>
    <row r="67" spans="1:14" ht="63.75" x14ac:dyDescent="0.25">
      <c r="A67" s="15" t="s">
        <v>528</v>
      </c>
      <c r="B67" s="15" t="s">
        <v>518</v>
      </c>
      <c r="C67" s="16" t="s">
        <v>529</v>
      </c>
      <c r="D67" s="16" t="s">
        <v>37</v>
      </c>
      <c r="E67" s="16" t="s">
        <v>38</v>
      </c>
      <c r="F67" s="16" t="s">
        <v>530</v>
      </c>
      <c r="G67" s="15" t="s">
        <v>40</v>
      </c>
      <c r="H67" s="16" t="s">
        <v>531</v>
      </c>
      <c r="I67" s="16" t="s">
        <v>532</v>
      </c>
      <c r="J67" s="16" t="s">
        <v>533</v>
      </c>
      <c r="K67" s="16" t="s">
        <v>529</v>
      </c>
      <c r="L67" s="15" t="s">
        <v>459</v>
      </c>
      <c r="M67" s="14" t="s">
        <v>673</v>
      </c>
      <c r="N67" s="16"/>
    </row>
    <row r="68" spans="1:14" ht="63.75" x14ac:dyDescent="0.25">
      <c r="A68" s="15" t="s">
        <v>534</v>
      </c>
      <c r="B68" s="15" t="s">
        <v>518</v>
      </c>
      <c r="C68" s="16" t="s">
        <v>535</v>
      </c>
      <c r="D68" s="16" t="s">
        <v>54</v>
      </c>
      <c r="E68" s="16" t="s">
        <v>536</v>
      </c>
      <c r="F68" s="16" t="s">
        <v>537</v>
      </c>
      <c r="G68" s="15" t="s">
        <v>40</v>
      </c>
      <c r="H68" s="16" t="s">
        <v>538</v>
      </c>
      <c r="I68" s="16" t="s">
        <v>539</v>
      </c>
      <c r="J68" s="16" t="s">
        <v>540</v>
      </c>
      <c r="K68" s="16" t="s">
        <v>540</v>
      </c>
      <c r="L68" s="15" t="s">
        <v>459</v>
      </c>
      <c r="M68" s="14" t="s">
        <v>674</v>
      </c>
      <c r="N68" s="16"/>
    </row>
    <row r="69" spans="1:14" ht="63.75" x14ac:dyDescent="0.25">
      <c r="A69" s="15" t="s">
        <v>541</v>
      </c>
      <c r="B69" s="15" t="s">
        <v>518</v>
      </c>
      <c r="C69" s="16" t="s">
        <v>542</v>
      </c>
      <c r="D69" s="16" t="s">
        <v>74</v>
      </c>
      <c r="E69" s="16" t="s">
        <v>543</v>
      </c>
      <c r="F69" s="16" t="s">
        <v>544</v>
      </c>
      <c r="G69" s="15" t="s">
        <v>63</v>
      </c>
      <c r="H69" s="16" t="s">
        <v>538</v>
      </c>
      <c r="I69" s="16" t="s">
        <v>545</v>
      </c>
      <c r="J69" s="16" t="s">
        <v>546</v>
      </c>
      <c r="K69" s="16" t="s">
        <v>681</v>
      </c>
      <c r="L69" s="15" t="s">
        <v>459</v>
      </c>
      <c r="M69" s="14" t="s">
        <v>682</v>
      </c>
      <c r="N69" s="16"/>
    </row>
    <row r="70" spans="1:14" ht="51" x14ac:dyDescent="0.25">
      <c r="A70" s="15" t="s">
        <v>547</v>
      </c>
      <c r="B70" s="15" t="s">
        <v>518</v>
      </c>
      <c r="C70" s="16" t="s">
        <v>548</v>
      </c>
      <c r="D70" s="16" t="s">
        <v>20</v>
      </c>
      <c r="E70" s="16" t="s">
        <v>549</v>
      </c>
      <c r="F70" s="16" t="s">
        <v>550</v>
      </c>
      <c r="G70" s="15" t="s">
        <v>40</v>
      </c>
      <c r="H70" s="16" t="s">
        <v>551</v>
      </c>
      <c r="I70" s="16" t="s">
        <v>552</v>
      </c>
      <c r="J70" s="16" t="s">
        <v>553</v>
      </c>
      <c r="K70" s="16" t="s">
        <v>553</v>
      </c>
      <c r="L70" s="15" t="s">
        <v>459</v>
      </c>
      <c r="M70" s="14" t="s">
        <v>683</v>
      </c>
      <c r="N70" s="16"/>
    </row>
    <row r="71" spans="1:14" ht="38.25" x14ac:dyDescent="0.25">
      <c r="A71" s="15" t="s">
        <v>554</v>
      </c>
      <c r="B71" s="15" t="s">
        <v>518</v>
      </c>
      <c r="C71" s="16" t="s">
        <v>555</v>
      </c>
      <c r="D71" s="16" t="s">
        <v>74</v>
      </c>
      <c r="E71" s="16" t="s">
        <v>556</v>
      </c>
      <c r="F71" s="16" t="s">
        <v>557</v>
      </c>
      <c r="G71" s="15" t="s">
        <v>40</v>
      </c>
      <c r="H71" s="16" t="s">
        <v>538</v>
      </c>
      <c r="I71" s="16" t="s">
        <v>558</v>
      </c>
      <c r="J71" s="16" t="s">
        <v>559</v>
      </c>
      <c r="K71" s="16" t="s">
        <v>559</v>
      </c>
      <c r="L71" s="15" t="s">
        <v>459</v>
      </c>
      <c r="M71" s="14" t="s">
        <v>684</v>
      </c>
      <c r="N71" s="16"/>
    </row>
    <row r="72" spans="1:14" ht="89.25" x14ac:dyDescent="0.25">
      <c r="A72" s="15" t="s">
        <v>560</v>
      </c>
      <c r="B72" s="15" t="s">
        <v>518</v>
      </c>
      <c r="C72" s="16" t="s">
        <v>561</v>
      </c>
      <c r="D72" s="16" t="s">
        <v>54</v>
      </c>
      <c r="E72" s="16" t="s">
        <v>562</v>
      </c>
      <c r="F72" s="16" t="s">
        <v>563</v>
      </c>
      <c r="G72" s="15" t="s">
        <v>40</v>
      </c>
      <c r="H72" s="16" t="s">
        <v>538</v>
      </c>
      <c r="I72" s="16" t="s">
        <v>564</v>
      </c>
      <c r="J72" s="16" t="s">
        <v>565</v>
      </c>
      <c r="K72" s="16"/>
      <c r="L72" s="15"/>
      <c r="M72" s="16"/>
      <c r="N72" s="16"/>
    </row>
    <row r="73" spans="1:14" ht="38.25" x14ac:dyDescent="0.25">
      <c r="A73" s="15" t="s">
        <v>566</v>
      </c>
      <c r="B73" s="15" t="s">
        <v>518</v>
      </c>
      <c r="C73" s="16" t="s">
        <v>567</v>
      </c>
      <c r="D73" s="16" t="s">
        <v>20</v>
      </c>
      <c r="E73" s="16" t="s">
        <v>568</v>
      </c>
      <c r="F73" s="16" t="s">
        <v>569</v>
      </c>
      <c r="G73" s="15" t="s">
        <v>40</v>
      </c>
      <c r="H73" s="16" t="s">
        <v>570</v>
      </c>
      <c r="I73" s="16" t="s">
        <v>571</v>
      </c>
      <c r="J73" s="16" t="s">
        <v>572</v>
      </c>
      <c r="K73" s="16"/>
      <c r="L73" s="15"/>
      <c r="M73" s="16"/>
      <c r="N73" s="16"/>
    </row>
    <row r="74" spans="1:14" ht="89.25" x14ac:dyDescent="0.25">
      <c r="A74" s="15" t="s">
        <v>573</v>
      </c>
      <c r="B74" s="15" t="s">
        <v>518</v>
      </c>
      <c r="C74" s="16" t="s">
        <v>574</v>
      </c>
      <c r="D74" s="16" t="s">
        <v>20</v>
      </c>
      <c r="E74" s="16" t="s">
        <v>575</v>
      </c>
      <c r="F74" s="16" t="s">
        <v>576</v>
      </c>
      <c r="G74" s="15" t="s">
        <v>40</v>
      </c>
      <c r="H74" s="16" t="s">
        <v>577</v>
      </c>
      <c r="I74" s="16" t="s">
        <v>578</v>
      </c>
      <c r="J74" s="16" t="s">
        <v>579</v>
      </c>
      <c r="K74" s="16"/>
      <c r="L74" s="15"/>
      <c r="M74" s="16"/>
      <c r="N74" s="16"/>
    </row>
    <row r="75" spans="1:14" ht="51" x14ac:dyDescent="0.25">
      <c r="A75" s="15" t="s">
        <v>580</v>
      </c>
      <c r="B75" s="15" t="s">
        <v>518</v>
      </c>
      <c r="C75" s="16" t="s">
        <v>581</v>
      </c>
      <c r="D75" s="16" t="s">
        <v>54</v>
      </c>
      <c r="E75" s="16" t="s">
        <v>582</v>
      </c>
      <c r="F75" s="16" t="s">
        <v>583</v>
      </c>
      <c r="G75" s="15" t="s">
        <v>63</v>
      </c>
      <c r="H75" s="16" t="s">
        <v>584</v>
      </c>
      <c r="I75" s="16" t="s">
        <v>585</v>
      </c>
      <c r="J75" s="16" t="s">
        <v>586</v>
      </c>
      <c r="K75" s="16"/>
      <c r="L75" s="15"/>
      <c r="M75" s="16"/>
      <c r="N75" s="16"/>
    </row>
    <row r="76" spans="1:14" ht="76.5" x14ac:dyDescent="0.25">
      <c r="A76" s="15" t="s">
        <v>587</v>
      </c>
      <c r="B76" s="15" t="s">
        <v>518</v>
      </c>
      <c r="C76" s="16" t="s">
        <v>588</v>
      </c>
      <c r="D76" s="16" t="s">
        <v>54</v>
      </c>
      <c r="E76" s="16" t="s">
        <v>589</v>
      </c>
      <c r="F76" s="16" t="s">
        <v>590</v>
      </c>
      <c r="G76" s="15" t="s">
        <v>63</v>
      </c>
      <c r="H76" s="16" t="s">
        <v>591</v>
      </c>
      <c r="I76" s="16" t="s">
        <v>592</v>
      </c>
      <c r="J76" s="16" t="s">
        <v>593</v>
      </c>
      <c r="K76" s="16"/>
      <c r="L76" s="15"/>
      <c r="M76" s="16"/>
      <c r="N76" s="16"/>
    </row>
    <row r="77" spans="1:14" ht="51" x14ac:dyDescent="0.25">
      <c r="A77" s="15" t="s">
        <v>594</v>
      </c>
      <c r="B77" s="15" t="s">
        <v>518</v>
      </c>
      <c r="C77" s="16" t="s">
        <v>595</v>
      </c>
      <c r="D77" s="16" t="s">
        <v>54</v>
      </c>
      <c r="E77" s="16" t="s">
        <v>596</v>
      </c>
      <c r="F77" s="16" t="s">
        <v>597</v>
      </c>
      <c r="G77" s="15" t="s">
        <v>40</v>
      </c>
      <c r="H77" s="16" t="s">
        <v>598</v>
      </c>
      <c r="I77" s="16" t="s">
        <v>599</v>
      </c>
      <c r="J77" s="16" t="s">
        <v>600</v>
      </c>
      <c r="K77" s="16"/>
      <c r="L77" s="15"/>
      <c r="M77" s="16"/>
      <c r="N77" s="16"/>
    </row>
    <row r="78" spans="1:14" ht="51" x14ac:dyDescent="0.25">
      <c r="A78" s="15" t="s">
        <v>601</v>
      </c>
      <c r="B78" s="15" t="s">
        <v>518</v>
      </c>
      <c r="C78" s="16" t="s">
        <v>602</v>
      </c>
      <c r="D78" s="16" t="s">
        <v>54</v>
      </c>
      <c r="E78" s="16" t="s">
        <v>603</v>
      </c>
      <c r="F78" s="16" t="s">
        <v>604</v>
      </c>
      <c r="G78" s="15" t="s">
        <v>40</v>
      </c>
      <c r="H78" s="16" t="s">
        <v>605</v>
      </c>
      <c r="I78" s="16" t="s">
        <v>606</v>
      </c>
      <c r="J78" s="16" t="s">
        <v>607</v>
      </c>
      <c r="K78" s="16"/>
      <c r="L78" s="15"/>
      <c r="M78" s="16"/>
      <c r="N78" s="16"/>
    </row>
    <row r="79" spans="1:14" ht="89.25" x14ac:dyDescent="0.25">
      <c r="A79" s="19" t="s">
        <v>608</v>
      </c>
      <c r="B79" s="17" t="s">
        <v>518</v>
      </c>
      <c r="C79" s="18" t="s">
        <v>675</v>
      </c>
      <c r="D79" s="18" t="s">
        <v>20</v>
      </c>
      <c r="E79" s="18" t="s">
        <v>676</v>
      </c>
      <c r="F79" s="18" t="s">
        <v>677</v>
      </c>
      <c r="G79" s="17" t="s">
        <v>40</v>
      </c>
      <c r="H79" s="18" t="s">
        <v>678</v>
      </c>
      <c r="I79" s="18" t="s">
        <v>679</v>
      </c>
      <c r="J79" s="18" t="s">
        <v>680</v>
      </c>
      <c r="K79" s="18"/>
      <c r="L79" s="20"/>
      <c r="M79" s="18"/>
      <c r="N79" s="18"/>
    </row>
    <row r="80" spans="1:14" ht="76.5" x14ac:dyDescent="0.25">
      <c r="A80" s="15" t="s">
        <v>610</v>
      </c>
      <c r="B80" s="15" t="s">
        <v>519</v>
      </c>
      <c r="C80" s="16" t="s">
        <v>611</v>
      </c>
      <c r="D80" s="16" t="s">
        <v>37</v>
      </c>
      <c r="E80" s="16" t="s">
        <v>38</v>
      </c>
      <c r="F80" s="16" t="s">
        <v>612</v>
      </c>
      <c r="G80" s="15" t="s">
        <v>40</v>
      </c>
      <c r="H80" s="16" t="s">
        <v>613</v>
      </c>
      <c r="I80" s="16" t="s">
        <v>614</v>
      </c>
      <c r="J80" s="16" t="s">
        <v>615</v>
      </c>
      <c r="K80" s="16"/>
      <c r="L80" s="15"/>
      <c r="M80" s="16"/>
      <c r="N80" s="16"/>
    </row>
    <row r="81" spans="1:14" ht="51" x14ac:dyDescent="0.25">
      <c r="A81" s="15" t="s">
        <v>616</v>
      </c>
      <c r="B81" s="15" t="s">
        <v>519</v>
      </c>
      <c r="C81" s="16" t="s">
        <v>617</v>
      </c>
      <c r="D81" s="16" t="s">
        <v>20</v>
      </c>
      <c r="E81" s="16" t="s">
        <v>618</v>
      </c>
      <c r="F81" s="16" t="s">
        <v>619</v>
      </c>
      <c r="G81" s="15" t="s">
        <v>40</v>
      </c>
      <c r="H81" s="16" t="s">
        <v>538</v>
      </c>
      <c r="I81" s="16" t="s">
        <v>620</v>
      </c>
      <c r="J81" s="16" t="s">
        <v>621</v>
      </c>
      <c r="K81" s="16"/>
      <c r="L81" s="15"/>
      <c r="M81" s="16"/>
      <c r="N81" s="16"/>
    </row>
    <row r="82" spans="1:14" ht="38.25" x14ac:dyDescent="0.25">
      <c r="A82" s="15" t="s">
        <v>622</v>
      </c>
      <c r="B82" s="15" t="s">
        <v>519</v>
      </c>
      <c r="C82" s="16" t="s">
        <v>623</v>
      </c>
      <c r="D82" s="16" t="s">
        <v>74</v>
      </c>
      <c r="E82" s="16" t="s">
        <v>624</v>
      </c>
      <c r="F82" s="16" t="s">
        <v>625</v>
      </c>
      <c r="G82" s="15" t="s">
        <v>63</v>
      </c>
      <c r="H82" s="16" t="s">
        <v>626</v>
      </c>
      <c r="I82" s="16" t="s">
        <v>627</v>
      </c>
      <c r="J82" s="16" t="s">
        <v>628</v>
      </c>
      <c r="K82" s="16"/>
      <c r="L82" s="15"/>
      <c r="M82" s="16"/>
      <c r="N82" s="16"/>
    </row>
    <row r="83" spans="1:14" ht="38.25" x14ac:dyDescent="0.25">
      <c r="A83" s="15" t="s">
        <v>629</v>
      </c>
      <c r="B83" s="15" t="s">
        <v>519</v>
      </c>
      <c r="C83" s="16" t="s">
        <v>630</v>
      </c>
      <c r="D83" s="16" t="s">
        <v>20</v>
      </c>
      <c r="E83" s="16" t="s">
        <v>631</v>
      </c>
      <c r="F83" s="16" t="s">
        <v>632</v>
      </c>
      <c r="G83" s="15" t="s">
        <v>40</v>
      </c>
      <c r="H83" s="16" t="s">
        <v>626</v>
      </c>
      <c r="I83" s="16" t="s">
        <v>633</v>
      </c>
      <c r="J83" s="16" t="s">
        <v>634</v>
      </c>
      <c r="K83" s="16"/>
      <c r="L83" s="15"/>
      <c r="M83" s="16"/>
      <c r="N83" s="16"/>
    </row>
    <row r="84" spans="1:14" ht="63.75" x14ac:dyDescent="0.25">
      <c r="A84" s="15" t="s">
        <v>635</v>
      </c>
      <c r="B84" s="15" t="s">
        <v>519</v>
      </c>
      <c r="C84" s="16" t="s">
        <v>636</v>
      </c>
      <c r="D84" s="16" t="s">
        <v>20</v>
      </c>
      <c r="E84" s="16" t="s">
        <v>609</v>
      </c>
      <c r="F84" s="16" t="s">
        <v>637</v>
      </c>
      <c r="G84" s="15" t="s">
        <v>40</v>
      </c>
      <c r="H84" s="16" t="s">
        <v>638</v>
      </c>
      <c r="I84" s="16" t="s">
        <v>639</v>
      </c>
      <c r="J84" s="16" t="s">
        <v>640</v>
      </c>
      <c r="K84" s="16"/>
      <c r="L84" s="15"/>
      <c r="M84" s="16"/>
      <c r="N84" s="16"/>
    </row>
    <row r="85" spans="1:14" ht="102" x14ac:dyDescent="0.25">
      <c r="A85" s="15" t="s">
        <v>641</v>
      </c>
      <c r="B85" s="15" t="s">
        <v>519</v>
      </c>
      <c r="C85" s="16" t="s">
        <v>642</v>
      </c>
      <c r="D85" s="16" t="s">
        <v>54</v>
      </c>
      <c r="E85" s="16" t="s">
        <v>643</v>
      </c>
      <c r="F85" s="16" t="s">
        <v>644</v>
      </c>
      <c r="G85" s="15" t="s">
        <v>40</v>
      </c>
      <c r="H85" s="16" t="s">
        <v>538</v>
      </c>
      <c r="I85" s="16" t="s">
        <v>645</v>
      </c>
      <c r="J85" s="16" t="s">
        <v>646</v>
      </c>
      <c r="K85" s="16"/>
      <c r="L85" s="15"/>
      <c r="M85" s="16"/>
      <c r="N85" s="16"/>
    </row>
    <row r="86" spans="1:14" ht="102" x14ac:dyDescent="0.25">
      <c r="A86" s="15" t="s">
        <v>647</v>
      </c>
      <c r="B86" s="15" t="s">
        <v>519</v>
      </c>
      <c r="C86" s="16" t="s">
        <v>648</v>
      </c>
      <c r="D86" s="16" t="s">
        <v>74</v>
      </c>
      <c r="E86" s="16" t="s">
        <v>649</v>
      </c>
      <c r="F86" s="16" t="s">
        <v>650</v>
      </c>
      <c r="G86" s="15" t="s">
        <v>40</v>
      </c>
      <c r="H86" s="16" t="s">
        <v>538</v>
      </c>
      <c r="I86" s="16" t="s">
        <v>651</v>
      </c>
      <c r="J86" s="16" t="s">
        <v>652</v>
      </c>
      <c r="K86" s="16"/>
      <c r="L86" s="15"/>
      <c r="M86" s="16"/>
      <c r="N86" s="16"/>
    </row>
    <row r="87" spans="1:14" ht="63.75" x14ac:dyDescent="0.25">
      <c r="A87" s="15" t="s">
        <v>653</v>
      </c>
      <c r="B87" s="15" t="s">
        <v>519</v>
      </c>
      <c r="C87" s="16" t="s">
        <v>654</v>
      </c>
      <c r="D87" s="16" t="s">
        <v>54</v>
      </c>
      <c r="E87" s="16" t="s">
        <v>655</v>
      </c>
      <c r="F87" s="16" t="s">
        <v>656</v>
      </c>
      <c r="G87" s="15" t="s">
        <v>40</v>
      </c>
      <c r="H87" s="16" t="s">
        <v>657</v>
      </c>
      <c r="I87" s="16" t="s">
        <v>658</v>
      </c>
      <c r="J87" s="16" t="s">
        <v>659</v>
      </c>
      <c r="K87" s="16"/>
      <c r="L87" s="15"/>
      <c r="M87" s="16"/>
      <c r="N87" s="16"/>
    </row>
    <row r="88" spans="1:14" ht="89.25" x14ac:dyDescent="0.25">
      <c r="A88" s="15" t="s">
        <v>660</v>
      </c>
      <c r="B88" s="15" t="s">
        <v>519</v>
      </c>
      <c r="C88" s="16" t="s">
        <v>661</v>
      </c>
      <c r="D88" s="16" t="s">
        <v>20</v>
      </c>
      <c r="E88" s="16" t="s">
        <v>568</v>
      </c>
      <c r="F88" s="16" t="s">
        <v>662</v>
      </c>
      <c r="G88" s="15" t="s">
        <v>63</v>
      </c>
      <c r="H88" s="16" t="s">
        <v>663</v>
      </c>
      <c r="I88" s="16" t="s">
        <v>664</v>
      </c>
      <c r="J88" s="16" t="s">
        <v>665</v>
      </c>
      <c r="K88" s="16"/>
      <c r="L88" s="15"/>
      <c r="M88" s="16"/>
      <c r="N88" s="16"/>
    </row>
    <row r="89" spans="1:14" ht="38.25" x14ac:dyDescent="0.25">
      <c r="A89" s="15" t="s">
        <v>666</v>
      </c>
      <c r="B89" s="15" t="s">
        <v>519</v>
      </c>
      <c r="C89" s="16" t="s">
        <v>667</v>
      </c>
      <c r="D89" s="16" t="s">
        <v>54</v>
      </c>
      <c r="E89" s="16" t="s">
        <v>668</v>
      </c>
      <c r="F89" s="16" t="s">
        <v>669</v>
      </c>
      <c r="G89" s="15" t="s">
        <v>63</v>
      </c>
      <c r="H89" s="16" t="s">
        <v>670</v>
      </c>
      <c r="I89" s="16" t="s">
        <v>671</v>
      </c>
      <c r="J89" s="16" t="s">
        <v>672</v>
      </c>
      <c r="K89" s="16"/>
      <c r="L89" s="15"/>
      <c r="M89" s="16"/>
      <c r="N89" s="16"/>
    </row>
  </sheetData>
  <autoFilter ref="A1:N65" xr:uid="{00000000-0009-0000-0000-000003000000}">
    <sortState xmlns:xlrd2="http://schemas.microsoft.com/office/spreadsheetml/2017/richdata2" ref="A2:N65">
      <sortCondition ref="A1:A65"/>
    </sortState>
  </autoFilter>
  <phoneticPr fontId="8" type="noConversion"/>
  <conditionalFormatting sqref="L2:L395">
    <cfRule type="cellIs" dxfId="2" priority="1" operator="equal">
      <formula>"PASS"</formula>
    </cfRule>
    <cfRule type="cellIs" dxfId="1" priority="2" operator="equal">
      <formula>"FAIL"</formula>
    </cfRule>
    <cfRule type="cellIs" dxfId="0" priority="3" operator="equal">
      <formula>"Chưa chạy"</formula>
    </cfRule>
  </conditionalFormatting>
  <dataValidations count="3">
    <dataValidation type="list" allowBlank="1" sqref="D2:D395" xr:uid="{00000000-0002-0000-0300-000000000000}">
      <formula1>"Happy path,Negative,Boundary,Alternative flow,Phi chức năng"</formula1>
      <formula2>0</formula2>
    </dataValidation>
    <dataValidation type="list" allowBlank="1" sqref="G2:G395" xr:uid="{00000000-0002-0000-0300-000001000000}">
      <formula1>"Cao,Trung,Thấp"</formula1>
      <formula2>0</formula2>
    </dataValidation>
    <dataValidation type="list" allowBlank="1" sqref="L2:L395" xr:uid="{00000000-0002-0000-0300-000002000000}">
      <formula1>"Chưa chạy,PASS,FAIL"</formula1>
      <formula2>0</formula2>
    </dataValidation>
  </dataValidations>
  <hyperlinks>
    <hyperlink ref="M55" r:id="rId1" xr:uid="{50F66AAF-B0D6-4015-AE81-202020A4C517}"/>
    <hyperlink ref="M56" r:id="rId2" xr:uid="{A82CC3A9-D097-4E0D-BC9C-E140A8961EB2}"/>
    <hyperlink ref="M57" r:id="rId3" xr:uid="{08D47271-6BFF-47CF-A4E0-50C3B7CBE0C6}"/>
    <hyperlink ref="M59" r:id="rId4" xr:uid="{9F651E7B-E02C-482C-A9C3-B48CE366708D}"/>
    <hyperlink ref="M60" r:id="rId5" xr:uid="{A864ECE4-9FCB-49E2-B4CA-C451B08DAD6B}"/>
    <hyperlink ref="M61" r:id="rId6" xr:uid="{A93B080E-95D8-407A-B7EF-3EF80B22C84E}"/>
    <hyperlink ref="M63" r:id="rId7" xr:uid="{6B3DF791-B948-4A8E-A3AC-C8A2DC934749}"/>
    <hyperlink ref="M2" r:id="rId8" xr:uid="{54F1630E-C33A-44D8-AF37-43D154BB6BAD}"/>
    <hyperlink ref="M3" r:id="rId9" xr:uid="{23368E01-5C93-453F-9C9A-97753332BDA4}"/>
    <hyperlink ref="M4" r:id="rId10" xr:uid="{052C7473-5CF6-451A-BECC-1E425E96FDD2}"/>
    <hyperlink ref="M8" r:id="rId11" xr:uid="{0DC140F7-DC54-47D0-8FE4-B05287842DF7}"/>
    <hyperlink ref="M9" r:id="rId12" xr:uid="{4D3489F9-5D17-474D-9677-E57F0217832E}"/>
    <hyperlink ref="M12" r:id="rId13" xr:uid="{3C114A65-7E2A-4CB9-BDE4-077F5E538DB2}"/>
    <hyperlink ref="M13" r:id="rId14" xr:uid="{4051FF90-4DDE-45C7-9B35-C9EC983A64EB}"/>
    <hyperlink ref="M14" r:id="rId15" xr:uid="{110BCE89-D2A5-455E-8067-5BD436DCF537}"/>
    <hyperlink ref="M30" r:id="rId16" xr:uid="{71A0AEE4-3217-432A-8E55-341AEA509C97}"/>
    <hyperlink ref="M31" r:id="rId17" xr:uid="{34ED325D-177A-4015-BC1E-E8EB6CA12D1E}"/>
    <hyperlink ref="M32" r:id="rId18" xr:uid="{285250BE-5FDB-4B41-BDEE-17FF6DD89EF3}"/>
    <hyperlink ref="M35" r:id="rId19" xr:uid="{293CF10D-69D5-48C8-9635-D73783E4072E}"/>
    <hyperlink ref="M36" r:id="rId20" xr:uid="{6CBC592C-DD18-4821-8CB9-2097F3876169}"/>
    <hyperlink ref="M11" r:id="rId21" xr:uid="{F04C9117-9C1E-4044-8F1D-E7B038BD9AB0}"/>
    <hyperlink ref="M20" r:id="rId22" xr:uid="{F99C49CE-6294-484F-B479-CC14CB9FCE20}"/>
    <hyperlink ref="M21" r:id="rId23" xr:uid="{80D4EF91-CE9C-4110-8AB1-EFE62AAAB626}"/>
    <hyperlink ref="M22" r:id="rId24" xr:uid="{3EE94D8E-A41D-4531-8A33-6FE8222ED015}"/>
    <hyperlink ref="M23" r:id="rId25" xr:uid="{75643E59-4472-4355-8654-FE4B15D48658}"/>
    <hyperlink ref="M58" r:id="rId26" xr:uid="{AE7C3925-3134-4861-A4E6-C7B68DE91762}"/>
    <hyperlink ref="M62" r:id="rId27" xr:uid="{3AA3DDD4-7123-4057-8041-CF1B902A3E1C}"/>
    <hyperlink ref="M64" r:id="rId28" xr:uid="{9606907E-556D-4CCC-82F8-9F50D0A02BF1}"/>
    <hyperlink ref="M65" r:id="rId29" xr:uid="{06E98682-1678-4789-922C-833F9D2B116B}"/>
    <hyperlink ref="M67" r:id="rId30" xr:uid="{EA70FFB8-7920-41C8-A0FA-18B4BE4C3BAD}"/>
    <hyperlink ref="M68" r:id="rId31" xr:uid="{4E4579C3-CEB9-40D9-A997-8179236FB2AF}"/>
    <hyperlink ref="M69" r:id="rId32" xr:uid="{84857B41-0C15-485C-A885-F39B7D4FBC60}"/>
    <hyperlink ref="M70" r:id="rId33" xr:uid="{7E380299-08A2-47C2-B4E7-DEBC1C8EA036}"/>
    <hyperlink ref="M71" r:id="rId34" xr:uid="{4A9FFBFF-EF0A-42D6-99E7-396BFFC02102}"/>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J5"/>
  <sheetViews>
    <sheetView zoomScale="90" zoomScaleNormal="90" workbookViewId="0">
      <pane xSplit="2" ySplit="1" topLeftCell="C2" activePane="bottomRight" state="frozen"/>
      <selection pane="topRight" activeCell="C1" sqref="C1"/>
      <selection pane="bottomLeft" activeCell="A3" sqref="A3"/>
      <selection pane="bottomRight" activeCell="B4" sqref="B4"/>
    </sheetView>
  </sheetViews>
  <sheetFormatPr defaultColWidth="8.7109375" defaultRowHeight="15" x14ac:dyDescent="0.25"/>
  <cols>
    <col min="1" max="1" width="16" customWidth="1"/>
    <col min="2" max="2" width="12" customWidth="1"/>
    <col min="3" max="3" width="40" customWidth="1"/>
    <col min="4" max="4" width="46" customWidth="1"/>
    <col min="5" max="6" width="34" customWidth="1"/>
    <col min="7" max="7" width="14" customWidth="1"/>
    <col min="8" max="8" width="12" customWidth="1"/>
    <col min="9" max="10" width="14" customWidth="1"/>
  </cols>
  <sheetData>
    <row r="1" spans="1:10" ht="31.5" customHeight="1" x14ac:dyDescent="0.25">
      <c r="A1" s="4" t="s">
        <v>423</v>
      </c>
      <c r="B1" s="4" t="s">
        <v>424</v>
      </c>
      <c r="C1" s="4" t="s">
        <v>425</v>
      </c>
      <c r="D1" s="4" t="s">
        <v>426</v>
      </c>
      <c r="E1" s="4" t="s">
        <v>427</v>
      </c>
      <c r="F1" s="4" t="s">
        <v>428</v>
      </c>
      <c r="G1" s="4" t="s">
        <v>429</v>
      </c>
      <c r="H1" s="8" t="s">
        <v>430</v>
      </c>
      <c r="I1" s="8" t="s">
        <v>431</v>
      </c>
      <c r="J1" s="8" t="s">
        <v>432</v>
      </c>
    </row>
    <row r="2" spans="1:10" x14ac:dyDescent="0.25">
      <c r="A2" s="1"/>
      <c r="B2" s="1"/>
      <c r="C2" s="1"/>
      <c r="D2" s="1"/>
      <c r="E2" s="1"/>
      <c r="F2" s="1"/>
      <c r="G2" s="1"/>
      <c r="H2" s="1"/>
      <c r="I2" s="1"/>
      <c r="J2" s="1"/>
    </row>
    <row r="3" spans="1:10" x14ac:dyDescent="0.25">
      <c r="A3" s="1"/>
      <c r="B3" s="1"/>
      <c r="C3" s="1"/>
      <c r="D3" s="1"/>
      <c r="E3" s="1"/>
      <c r="F3" s="1"/>
      <c r="G3" s="1"/>
      <c r="H3" s="1"/>
      <c r="I3" s="1"/>
      <c r="J3" s="1"/>
    </row>
    <row r="4" spans="1:10" x14ac:dyDescent="0.25">
      <c r="A4" s="1"/>
      <c r="B4" s="1"/>
      <c r="C4" s="1"/>
      <c r="D4" s="1"/>
      <c r="E4" s="1"/>
      <c r="F4" s="1"/>
      <c r="G4" s="1"/>
      <c r="H4" s="1"/>
      <c r="I4" s="1"/>
      <c r="J4" s="1"/>
    </row>
    <row r="5" spans="1:10" x14ac:dyDescent="0.25">
      <c r="A5" s="1"/>
      <c r="B5" s="1"/>
      <c r="C5" s="1"/>
      <c r="D5" s="1"/>
      <c r="E5" s="1"/>
      <c r="F5" s="1"/>
      <c r="G5" s="1"/>
      <c r="H5" s="1"/>
      <c r="I5" s="1"/>
      <c r="J5" s="1"/>
    </row>
  </sheetData>
  <dataValidations count="2">
    <dataValidation type="list" allowBlank="1" sqref="G2:G298" xr:uid="{00000000-0002-0000-0400-000000000000}">
      <formula1>"Critical,High,Medium,Low"</formula1>
      <formula2>0</formula2>
    </dataValidation>
    <dataValidation type="list" allowBlank="1" sqref="I2:I298" xr:uid="{00000000-0002-0000-0400-000001000000}">
      <formula1>"Mới,Đang sửa,Đã sửa,Đã retest đạt,Retest lỗi lại"</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J35"/>
  <sheetViews>
    <sheetView showGridLines="0" zoomScale="90" zoomScaleNormal="90" workbookViewId="0">
      <selection activeCell="A2" sqref="A2:XFD2"/>
    </sheetView>
  </sheetViews>
  <sheetFormatPr defaultColWidth="8.7109375" defaultRowHeight="15" x14ac:dyDescent="0.25"/>
  <cols>
    <col min="1" max="1" width="18" customWidth="1"/>
    <col min="2" max="2" width="44" customWidth="1"/>
    <col min="3" max="3" width="14" customWidth="1"/>
    <col min="4" max="8" width="12" customWidth="1"/>
    <col min="9" max="9" width="16" customWidth="1"/>
    <col min="10" max="10" width="12" customWidth="1"/>
  </cols>
  <sheetData>
    <row r="1" spans="1:10" ht="18" x14ac:dyDescent="0.25">
      <c r="A1" s="2" t="s">
        <v>434</v>
      </c>
    </row>
    <row r="3" spans="1:10" ht="31.5" customHeight="1" x14ac:dyDescent="0.25">
      <c r="A3" s="4" t="s">
        <v>0</v>
      </c>
      <c r="B3" s="4" t="s">
        <v>1</v>
      </c>
      <c r="C3" s="4" t="s">
        <v>435</v>
      </c>
      <c r="D3" s="4" t="s">
        <v>436</v>
      </c>
      <c r="E3" s="4" t="s">
        <v>437</v>
      </c>
      <c r="F3" s="4" t="s">
        <v>438</v>
      </c>
      <c r="G3" s="4" t="s">
        <v>439</v>
      </c>
      <c r="H3" s="4" t="s">
        <v>44</v>
      </c>
      <c r="I3" s="4" t="s">
        <v>440</v>
      </c>
      <c r="J3" s="4" t="s">
        <v>441</v>
      </c>
    </row>
    <row r="4" spans="1:10" x14ac:dyDescent="0.25">
      <c r="A4" s="5" t="s">
        <v>2</v>
      </c>
      <c r="B4" s="1" t="s">
        <v>3</v>
      </c>
      <c r="C4" s="6" t="s">
        <v>4</v>
      </c>
      <c r="D4" s="6">
        <f>COUNTIF('Test Case'!$B:$B,$A4)</f>
        <v>11</v>
      </c>
      <c r="E4" s="6">
        <f t="shared" ref="E4:E11" si="0">F4+G4</f>
        <v>11</v>
      </c>
      <c r="F4" s="6">
        <f>COUNTIFS('Test Case'!$B:$B,$A4,'Test Case'!$L:$L,"PASS")</f>
        <v>11</v>
      </c>
      <c r="G4" s="6">
        <f>COUNTIFS('Test Case'!$B:$B,$A4,'Test Case'!$L:$L,"FAIL")</f>
        <v>0</v>
      </c>
      <c r="H4" s="6">
        <f t="shared" ref="H4:H11" si="1">D4-E4</f>
        <v>0</v>
      </c>
      <c r="I4" s="9">
        <f t="shared" ref="I4:I12" si="2">IF(E4=0,"-",F4/E4)</f>
        <v>1</v>
      </c>
      <c r="J4" s="6">
        <f>COUNTIFS('Bug Report'!$A:$A,"BUG-N5-*",'Bug Report'!$B:$B,"TC-"&amp;RIGHT($A4,2)&amp;"-*")</f>
        <v>0</v>
      </c>
    </row>
    <row r="5" spans="1:10" x14ac:dyDescent="0.25">
      <c r="A5" s="5" t="s">
        <v>5</v>
      </c>
      <c r="B5" s="1" t="s">
        <v>6</v>
      </c>
      <c r="C5" s="6" t="s">
        <v>4</v>
      </c>
      <c r="D5" s="6">
        <f>COUNTIF('Test Case'!$B:$B,$A5)</f>
        <v>10</v>
      </c>
      <c r="E5" s="6">
        <f t="shared" si="0"/>
        <v>10</v>
      </c>
      <c r="F5" s="6">
        <f>COUNTIFS('Test Case'!$B:$B,$A5,'Test Case'!$L:$L,"PASS")</f>
        <v>10</v>
      </c>
      <c r="G5" s="6">
        <f>COUNTIFS('Test Case'!$B:$B,$A5,'Test Case'!$L:$L,"FAIL")</f>
        <v>0</v>
      </c>
      <c r="H5" s="6">
        <f t="shared" si="1"/>
        <v>0</v>
      </c>
      <c r="I5" s="9">
        <f t="shared" si="2"/>
        <v>1</v>
      </c>
      <c r="J5" s="6">
        <f>COUNTIFS('Bug Report'!$A:$A,"BUG-N5-*",'Bug Report'!$B:$B,"TC-"&amp;RIGHT($A5,2)&amp;"-*")</f>
        <v>0</v>
      </c>
    </row>
    <row r="6" spans="1:10" x14ac:dyDescent="0.25">
      <c r="A6" s="5" t="s">
        <v>7</v>
      </c>
      <c r="B6" s="1" t="s">
        <v>8</v>
      </c>
      <c r="C6" s="6" t="s">
        <v>4</v>
      </c>
      <c r="D6" s="6">
        <f>COUNTIF('Test Case'!$B:$B,$A6)</f>
        <v>12</v>
      </c>
      <c r="E6" s="6">
        <f t="shared" si="0"/>
        <v>12</v>
      </c>
      <c r="F6" s="6">
        <f>COUNTIFS('Test Case'!$B:$B,$A6,'Test Case'!$L:$L,"PASS")</f>
        <v>12</v>
      </c>
      <c r="G6" s="6">
        <f>COUNTIFS('Test Case'!$B:$B,$A6,'Test Case'!$L:$L,"FAIL")</f>
        <v>0</v>
      </c>
      <c r="H6" s="6">
        <f t="shared" si="1"/>
        <v>0</v>
      </c>
      <c r="I6" s="9">
        <f t="shared" si="2"/>
        <v>1</v>
      </c>
      <c r="J6" s="6">
        <f>COUNTIFS('Bug Report'!$A:$A,"BUG-N5-*",'Bug Report'!$B:$B,"TC-"&amp;RIGHT($A6,2)&amp;"-*")</f>
        <v>0</v>
      </c>
    </row>
    <row r="7" spans="1:10" ht="25.5" x14ac:dyDescent="0.25">
      <c r="A7" s="5" t="s">
        <v>9</v>
      </c>
      <c r="B7" s="1" t="s">
        <v>10</v>
      </c>
      <c r="C7" s="6" t="s">
        <v>4</v>
      </c>
      <c r="D7" s="6">
        <f>COUNTIF('Test Case'!$B:$B,$A7)</f>
        <v>9</v>
      </c>
      <c r="E7" s="6">
        <f t="shared" si="0"/>
        <v>5</v>
      </c>
      <c r="F7" s="6">
        <f>COUNTIFS('Test Case'!$B:$B,$A7,'Test Case'!$L:$L,"PASS")</f>
        <v>5</v>
      </c>
      <c r="G7" s="6">
        <f>COUNTIFS('Test Case'!$B:$B,$A7,'Test Case'!$L:$L,"FAIL")</f>
        <v>0</v>
      </c>
      <c r="H7" s="6">
        <f t="shared" si="1"/>
        <v>4</v>
      </c>
      <c r="I7" s="9">
        <f t="shared" si="2"/>
        <v>1</v>
      </c>
      <c r="J7" s="6">
        <f>COUNTIFS('Bug Report'!$A:$A,"BUG-N5-*",'Bug Report'!$B:$B,"TC-"&amp;RIGHT($A7,2)&amp;"-*")</f>
        <v>0</v>
      </c>
    </row>
    <row r="8" spans="1:10" x14ac:dyDescent="0.25">
      <c r="A8" s="5" t="s">
        <v>11</v>
      </c>
      <c r="B8" s="1" t="s">
        <v>12</v>
      </c>
      <c r="C8" s="6" t="s">
        <v>13</v>
      </c>
      <c r="D8" s="6">
        <f>COUNTIF('Test Case'!$B:$B,$A8)</f>
        <v>5</v>
      </c>
      <c r="E8" s="6">
        <f t="shared" si="0"/>
        <v>0</v>
      </c>
      <c r="F8" s="6">
        <f>COUNTIFS('Test Case'!$B:$B,$A8,'Test Case'!$L:$L,"PASS")</f>
        <v>0</v>
      </c>
      <c r="G8" s="6">
        <f>COUNTIFS('Test Case'!$B:$B,$A8,'Test Case'!$L:$L,"FAIL")</f>
        <v>0</v>
      </c>
      <c r="H8" s="6">
        <f t="shared" si="1"/>
        <v>5</v>
      </c>
      <c r="I8" s="9" t="str">
        <f t="shared" si="2"/>
        <v>-</v>
      </c>
      <c r="J8" s="6">
        <f>COUNTIFS('Bug Report'!$A:$A,"BUG-N5-*",'Bug Report'!$B:$B,"TC-"&amp;RIGHT($A8,2)&amp;"-*")</f>
        <v>0</v>
      </c>
    </row>
    <row r="9" spans="1:10" x14ac:dyDescent="0.25">
      <c r="A9" s="5" t="s">
        <v>14</v>
      </c>
      <c r="B9" s="1" t="s">
        <v>15</v>
      </c>
      <c r="C9" s="6" t="s">
        <v>13</v>
      </c>
      <c r="D9" s="6">
        <f>COUNTIF('Test Case'!$B:$B,$A9)</f>
        <v>6</v>
      </c>
      <c r="E9" s="6">
        <f t="shared" si="0"/>
        <v>0</v>
      </c>
      <c r="F9" s="6">
        <f>COUNTIFS('Test Case'!$B:$B,$A9,'Test Case'!$L:$L,"PASS")</f>
        <v>0</v>
      </c>
      <c r="G9" s="6">
        <f>COUNTIFS('Test Case'!$B:$B,$A9,'Test Case'!$L:$L,"FAIL")</f>
        <v>0</v>
      </c>
      <c r="H9" s="6">
        <f t="shared" si="1"/>
        <v>6</v>
      </c>
      <c r="I9" s="9" t="str">
        <f t="shared" si="2"/>
        <v>-</v>
      </c>
      <c r="J9" s="6">
        <f>COUNTIFS('Bug Report'!$A:$A,"BUG-N5-*",'Bug Report'!$B:$B,"TC-"&amp;RIGHT($A9,2)&amp;"-*")</f>
        <v>0</v>
      </c>
    </row>
    <row r="10" spans="1:10" x14ac:dyDescent="0.25">
      <c r="A10" s="5" t="s">
        <v>16</v>
      </c>
      <c r="B10" s="1" t="s">
        <v>17</v>
      </c>
      <c r="C10" s="6" t="s">
        <v>13</v>
      </c>
      <c r="D10" s="6">
        <f>COUNTIF('Test Case'!$B:$B,$A10)</f>
        <v>5</v>
      </c>
      <c r="E10" s="6">
        <f t="shared" si="0"/>
        <v>0</v>
      </c>
      <c r="F10" s="6">
        <f>COUNTIFS('Test Case'!$B:$B,$A10,'Test Case'!$L:$L,"PASS")</f>
        <v>0</v>
      </c>
      <c r="G10" s="6">
        <f>COUNTIFS('Test Case'!$B:$B,$A10,'Test Case'!$L:$L,"FAIL")</f>
        <v>0</v>
      </c>
      <c r="H10" s="6">
        <f t="shared" si="1"/>
        <v>5</v>
      </c>
      <c r="I10" s="9" t="str">
        <f t="shared" si="2"/>
        <v>-</v>
      </c>
      <c r="J10" s="6">
        <f>COUNTIFS('Bug Report'!$A:$A,"BUG-N5-*",'Bug Report'!$B:$B,"TC-"&amp;RIGHT($A10,2)&amp;"-*")</f>
        <v>0</v>
      </c>
    </row>
    <row r="11" spans="1:10" x14ac:dyDescent="0.25">
      <c r="A11" s="5" t="s">
        <v>18</v>
      </c>
      <c r="B11" s="1" t="s">
        <v>19</v>
      </c>
      <c r="C11" s="6" t="s">
        <v>13</v>
      </c>
      <c r="D11" s="6">
        <f>COUNTIF('Test Case'!$B:$B,$A11)</f>
        <v>6</v>
      </c>
      <c r="E11" s="6">
        <f t="shared" si="0"/>
        <v>0</v>
      </c>
      <c r="F11" s="6">
        <f>COUNTIFS('Test Case'!$B:$B,$A11,'Test Case'!$L:$L,"PASS")</f>
        <v>0</v>
      </c>
      <c r="G11" s="6">
        <f>COUNTIFS('Test Case'!$B:$B,$A11,'Test Case'!$L:$L,"FAIL")</f>
        <v>0</v>
      </c>
      <c r="H11" s="6">
        <f t="shared" si="1"/>
        <v>6</v>
      </c>
      <c r="I11" s="9" t="str">
        <f t="shared" si="2"/>
        <v>-</v>
      </c>
      <c r="J11" s="6">
        <f>COUNTIFS('Bug Report'!$A:$A,"BUG-N5-*",'Bug Report'!$B:$B,"TC-"&amp;RIGHT($A11,2)&amp;"-*")</f>
        <v>0</v>
      </c>
    </row>
    <row r="12" spans="1:10" x14ac:dyDescent="0.25">
      <c r="A12" s="10" t="s">
        <v>442</v>
      </c>
      <c r="B12" s="3" t="s">
        <v>443</v>
      </c>
      <c r="C12" s="11"/>
      <c r="D12" s="10">
        <f>SUM(D4:D11)</f>
        <v>64</v>
      </c>
      <c r="E12" s="10">
        <f>SUM(E4:E11)</f>
        <v>38</v>
      </c>
      <c r="F12" s="10">
        <f>SUM(F4:F11)</f>
        <v>38</v>
      </c>
      <c r="G12" s="10">
        <f>SUM(G4:G11)</f>
        <v>0</v>
      </c>
      <c r="H12" s="10">
        <f>SUM(H4:H11)</f>
        <v>26</v>
      </c>
      <c r="I12" s="12">
        <f t="shared" si="2"/>
        <v>1</v>
      </c>
      <c r="J12" s="10">
        <f>SUM(J4:J11)</f>
        <v>0</v>
      </c>
    </row>
    <row r="14" spans="1:10" x14ac:dyDescent="0.25">
      <c r="A14" s="13" t="s">
        <v>444</v>
      </c>
    </row>
    <row r="15" spans="1:10" ht="31.5" customHeight="1" x14ac:dyDescent="0.25">
      <c r="A15" s="4" t="s">
        <v>24</v>
      </c>
      <c r="B15" s="4"/>
      <c r="C15" s="4"/>
      <c r="D15" s="4" t="s">
        <v>436</v>
      </c>
      <c r="E15" s="4" t="s">
        <v>438</v>
      </c>
      <c r="F15" s="4" t="s">
        <v>439</v>
      </c>
    </row>
    <row r="16" spans="1:10" x14ac:dyDescent="0.25">
      <c r="A16" s="7" t="s">
        <v>37</v>
      </c>
      <c r="B16" s="1"/>
      <c r="C16" s="1"/>
      <c r="D16" s="6">
        <f>COUNTIF('Test Case'!$D:$D,$A16)</f>
        <v>19</v>
      </c>
      <c r="E16" s="6">
        <f>COUNTIFS('Test Case'!$D:$D,$A16,'Test Case'!$L:$L,"PASS")</f>
        <v>10</v>
      </c>
      <c r="F16" s="6">
        <f>COUNTIFS('Test Case'!$D:$D,$A16,'Test Case'!$L:$L,"FAIL")</f>
        <v>0</v>
      </c>
    </row>
    <row r="17" spans="1:10" x14ac:dyDescent="0.25">
      <c r="A17" s="7" t="s">
        <v>54</v>
      </c>
      <c r="B17" s="1"/>
      <c r="C17" s="1"/>
      <c r="D17" s="6">
        <f>COUNTIF('Test Case'!$D:$D,$A17)</f>
        <v>28</v>
      </c>
      <c r="E17" s="6">
        <f>COUNTIFS('Test Case'!$D:$D,$A17,'Test Case'!$L:$L,"PASS")</f>
        <v>10</v>
      </c>
      <c r="F17" s="6">
        <f>COUNTIFS('Test Case'!$D:$D,$A17,'Test Case'!$L:$L,"FAIL")</f>
        <v>0</v>
      </c>
    </row>
    <row r="18" spans="1:10" x14ac:dyDescent="0.25">
      <c r="A18" s="7" t="s">
        <v>74</v>
      </c>
      <c r="B18" s="1"/>
      <c r="C18" s="1"/>
      <c r="D18" s="6">
        <f>COUNTIF('Test Case'!$D:$D,$A18)</f>
        <v>16</v>
      </c>
      <c r="E18" s="6">
        <f>COUNTIFS('Test Case'!$D:$D,$A18,'Test Case'!$L:$L,"PASS")</f>
        <v>12</v>
      </c>
      <c r="F18" s="6">
        <f>COUNTIFS('Test Case'!$D:$D,$A18,'Test Case'!$L:$L,"FAIL")</f>
        <v>0</v>
      </c>
    </row>
    <row r="19" spans="1:10" x14ac:dyDescent="0.25">
      <c r="A19" s="7" t="s">
        <v>20</v>
      </c>
      <c r="B19" s="1"/>
      <c r="C19" s="1"/>
      <c r="D19" s="6">
        <f>COUNTIF('Test Case'!$D:$D,$A19)</f>
        <v>24</v>
      </c>
      <c r="E19" s="6">
        <f>COUNTIFS('Test Case'!$D:$D,$A19,'Test Case'!$L:$L,"PASS")</f>
        <v>12</v>
      </c>
      <c r="F19" s="6">
        <f>COUNTIFS('Test Case'!$D:$D,$A19,'Test Case'!$L:$L,"FAIL")</f>
        <v>0</v>
      </c>
    </row>
    <row r="20" spans="1:10" x14ac:dyDescent="0.25">
      <c r="A20" s="7" t="s">
        <v>298</v>
      </c>
      <c r="B20" s="1"/>
      <c r="C20" s="1"/>
      <c r="D20" s="6">
        <f>COUNTIF('Test Case'!$D:$D,$A20)</f>
        <v>1</v>
      </c>
      <c r="E20" s="6">
        <f>COUNTIFS('Test Case'!$D:$D,$A20,'Test Case'!$L:$L,"PASS")</f>
        <v>0</v>
      </c>
      <c r="F20" s="6">
        <f>COUNTIFS('Test Case'!$D:$D,$A20,'Test Case'!$L:$L,"FAIL")</f>
        <v>0</v>
      </c>
    </row>
    <row r="23" spans="1:10" x14ac:dyDescent="0.25">
      <c r="A23" s="13" t="s">
        <v>445</v>
      </c>
    </row>
    <row r="24" spans="1:10" ht="31.5" customHeight="1" x14ac:dyDescent="0.25">
      <c r="A24" s="4" t="s">
        <v>446</v>
      </c>
      <c r="B24" s="4"/>
      <c r="C24" s="4"/>
      <c r="D24" s="4" t="s">
        <v>441</v>
      </c>
      <c r="E24" s="4" t="s">
        <v>447</v>
      </c>
      <c r="F24" s="4" t="s">
        <v>448</v>
      </c>
    </row>
    <row r="25" spans="1:10" x14ac:dyDescent="0.25">
      <c r="A25" s="7" t="s">
        <v>449</v>
      </c>
      <c r="B25" s="1"/>
      <c r="C25" s="1"/>
      <c r="D25" s="6">
        <f>COUNTIFS('Bug Report'!$A:$A,"BUG-N5-*",'Bug Report'!$G:$G,$A25)</f>
        <v>0</v>
      </c>
      <c r="E25" s="6">
        <f>COUNTIFS('Bug Report'!$A:$A,"BUG-N5-*",'Bug Report'!$G:$G,$A25,'Bug Report'!$I:$I,"Đã retest đạt")</f>
        <v>0</v>
      </c>
      <c r="F25" s="6">
        <f>D25-E25</f>
        <v>0</v>
      </c>
    </row>
    <row r="26" spans="1:10" x14ac:dyDescent="0.25">
      <c r="A26" s="7" t="s">
        <v>433</v>
      </c>
      <c r="B26" s="1"/>
      <c r="C26" s="1"/>
      <c r="D26" s="6">
        <f>COUNTIFS('Bug Report'!$A:$A,"BUG-N5-*",'Bug Report'!$G:$G,$A26)</f>
        <v>0</v>
      </c>
      <c r="E26" s="6">
        <f>COUNTIFS('Bug Report'!$A:$A,"BUG-N5-*",'Bug Report'!$G:$G,$A26,'Bug Report'!$I:$I,"Đã retest đạt")</f>
        <v>0</v>
      </c>
      <c r="F26" s="6">
        <f>D26-E26</f>
        <v>0</v>
      </c>
    </row>
    <row r="27" spans="1:10" x14ac:dyDescent="0.25">
      <c r="A27" s="7" t="s">
        <v>450</v>
      </c>
      <c r="B27" s="1"/>
      <c r="C27" s="1"/>
      <c r="D27" s="6">
        <f>COUNTIFS('Bug Report'!$A:$A,"BUG-N5-*",'Bug Report'!$G:$G,$A27)</f>
        <v>0</v>
      </c>
      <c r="E27" s="6">
        <f>COUNTIFS('Bug Report'!$A:$A,"BUG-N5-*",'Bug Report'!$G:$G,$A27,'Bug Report'!$I:$I,"Đã retest đạt")</f>
        <v>0</v>
      </c>
      <c r="F27" s="6">
        <f>D27-E27</f>
        <v>0</v>
      </c>
    </row>
    <row r="28" spans="1:10" x14ac:dyDescent="0.25">
      <c r="A28" s="7" t="s">
        <v>451</v>
      </c>
      <c r="B28" s="1"/>
      <c r="C28" s="1"/>
      <c r="D28" s="6">
        <f>COUNTIFS('Bug Report'!$A:$A,"BUG-N5-*",'Bug Report'!$G:$G,$A28)</f>
        <v>0</v>
      </c>
      <c r="E28" s="6">
        <f>COUNTIFS('Bug Report'!$A:$A,"BUG-N5-*",'Bug Report'!$G:$G,$A28,'Bug Report'!$I:$I,"Đã retest đạt")</f>
        <v>0</v>
      </c>
      <c r="F28" s="6">
        <f>D28-E28</f>
        <v>0</v>
      </c>
    </row>
    <row r="30" spans="1:10" x14ac:dyDescent="0.25">
      <c r="A30" s="13" t="s">
        <v>452</v>
      </c>
    </row>
    <row r="31" spans="1:10" ht="19.5" customHeight="1" x14ac:dyDescent="0.25">
      <c r="A31" s="3" t="s">
        <v>453</v>
      </c>
      <c r="B31" s="21" t="str">
        <f>"Đã chạy "&amp;E12&amp;" / "&amp;D12&amp;" TC; PASS "&amp;F12&amp;"; FAIL "&amp;G12&amp;"; tỉ lệ pass "&amp;IF(E12=0,"-",TEXT(F12/E12,"0.0%"))</f>
        <v>Đã chạy 38 / 64 TC; PASS 38; FAIL 0; tỉ lệ pass 100.0%</v>
      </c>
      <c r="C31" s="21"/>
      <c r="D31" s="21"/>
      <c r="E31" s="21"/>
      <c r="F31" s="21"/>
      <c r="G31" s="21"/>
      <c r="H31" s="21"/>
      <c r="I31" s="21"/>
      <c r="J31" s="21"/>
    </row>
    <row r="32" spans="1:10" ht="48" customHeight="1" x14ac:dyDescent="0.25">
      <c r="A32" s="3" t="s">
        <v>454</v>
      </c>
      <c r="B32" s="22"/>
      <c r="C32" s="22"/>
      <c r="D32" s="22"/>
      <c r="E32" s="22"/>
      <c r="F32" s="22"/>
      <c r="G32" s="22"/>
      <c r="H32" s="22"/>
      <c r="I32" s="22"/>
      <c r="J32" s="22"/>
    </row>
    <row r="33" spans="1:10" ht="48" customHeight="1" x14ac:dyDescent="0.25">
      <c r="A33" s="3" t="s">
        <v>455</v>
      </c>
      <c r="B33" s="22"/>
      <c r="C33" s="22"/>
      <c r="D33" s="22"/>
      <c r="E33" s="22"/>
      <c r="F33" s="22"/>
      <c r="G33" s="22"/>
      <c r="H33" s="22"/>
      <c r="I33" s="22"/>
      <c r="J33" s="22"/>
    </row>
    <row r="34" spans="1:10" ht="48" customHeight="1" x14ac:dyDescent="0.25">
      <c r="A34" s="3" t="s">
        <v>456</v>
      </c>
      <c r="B34" s="22"/>
      <c r="C34" s="22"/>
      <c r="D34" s="22"/>
      <c r="E34" s="22"/>
      <c r="F34" s="22"/>
      <c r="G34" s="22"/>
      <c r="H34" s="22"/>
      <c r="I34" s="22"/>
      <c r="J34" s="22"/>
    </row>
    <row r="35" spans="1:10" ht="48" customHeight="1" x14ac:dyDescent="0.25">
      <c r="A35" s="3" t="s">
        <v>457</v>
      </c>
      <c r="B35" s="22"/>
      <c r="C35" s="22"/>
      <c r="D35" s="22"/>
      <c r="E35" s="22"/>
      <c r="F35" s="22"/>
      <c r="G35" s="22"/>
      <c r="H35" s="22"/>
      <c r="I35" s="22"/>
      <c r="J35" s="22"/>
    </row>
  </sheetData>
  <mergeCells count="5">
    <mergeCell ref="B31:J31"/>
    <mergeCell ref="B32:J32"/>
    <mergeCell ref="B33:J33"/>
    <mergeCell ref="B34:J34"/>
    <mergeCell ref="B35:J3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vt:lpstr>
      <vt:lpstr>Bug Report</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kiethoangsinhnam2006@gmail.com</cp:lastModifiedBy>
  <cp:revision>0</cp:revision>
  <dcterms:created xsi:type="dcterms:W3CDTF">2026-10-11T01:16:51Z</dcterms:created>
  <dcterms:modified xsi:type="dcterms:W3CDTF">2026-10-14T09:41:57Z</dcterms:modified>
  <dc:language>en-US</dc:language>
</cp:coreProperties>
</file>