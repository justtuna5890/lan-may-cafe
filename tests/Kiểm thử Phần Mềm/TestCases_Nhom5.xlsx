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999234EC-EADD-49BB-AB2F-471D363C0C41}"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8" i="6" l="1"/>
  <c r="D28" i="6"/>
  <c r="F28" i="6" s="1"/>
  <c r="E27" i="6"/>
  <c r="D27" i="6"/>
  <c r="F27" i="6" s="1"/>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D9" i="6"/>
  <c r="J8" i="6"/>
  <c r="G8" i="6"/>
  <c r="F8" i="6"/>
  <c r="D8" i="6"/>
  <c r="J7" i="6"/>
  <c r="G7" i="6"/>
  <c r="F7" i="6"/>
  <c r="D7" i="6"/>
  <c r="J6" i="6"/>
  <c r="G6" i="6"/>
  <c r="F6" i="6"/>
  <c r="D6" i="6"/>
  <c r="J5" i="6"/>
  <c r="G5" i="6"/>
  <c r="F5" i="6"/>
  <c r="D5" i="6"/>
  <c r="J4" i="6"/>
  <c r="G4" i="6"/>
  <c r="F4" i="6"/>
  <c r="D4" i="6"/>
  <c r="E9" i="6" l="1"/>
  <c r="E8" i="6"/>
  <c r="E4" i="6"/>
  <c r="E11" i="6"/>
  <c r="F26" i="6"/>
  <c r="F25" i="6"/>
  <c r="E7" i="6"/>
  <c r="J12" i="6"/>
  <c r="E10" i="6"/>
  <c r="E5" i="6"/>
  <c r="E6" i="6"/>
  <c r="G12" i="6"/>
  <c r="F12" i="6"/>
  <c r="D12" i="6"/>
  <c r="H9" i="6" l="1"/>
  <c r="I9" i="6"/>
  <c r="H8" i="6"/>
  <c r="I8" i="6"/>
  <c r="H4" i="6"/>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<sst xmlns="http://schemas.openxmlformats.org/spreadsheetml/2006/main" count="1151" uniqueCount="689">
  <si>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</si>
  <si>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</si>
  <si>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</si>
  <si>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</si>
  <si>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</si>
  <si>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</si>
  <si>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</si>
  <si>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</si>
  <si>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</si>
  <si>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</si>
  <si>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</si>
  <si>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</si>
  <si>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</si>
  <si>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</si>
  <si>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</si>
  <si>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</si>
  <si>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</si>
  <si>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</si>
  <si>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</si>
  <si>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</si>
  <si>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</si>
  <si>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</si>
  <si>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</si>
  <si>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</si>
  <si>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</si>
  <si>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</si>
  <si>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</si>
  <si>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</si>
  <si>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</si>
  <si>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</si>
  <si>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</si>
  <si>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</si>
  <si>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</si>
  <si>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</si>
  <si>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</si>
  <si>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</si>
  <si>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</si>
  <si>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</si>
  <si>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</si>
  <si>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</si>
  <si>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</si>
  <si>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</si>
  <si>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</si>
  <si>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</si>
  <si>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</si>
  <si>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</si>
  <si>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</si>
  <si>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</si>
  <si>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</si>
  <si>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</si>
  <si>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</si>
  <si>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</si>
  <si>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</si>
  <si>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</si>
  <si>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</si>
  <si>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</si>
  <si>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</si>
  <si>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</si>
  <si>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</si>
  <si>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</si>
  <si>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</si>
  <si>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</si>
  <si>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</si>
  <si>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</si>
  <si>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</si>
  <si>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</si>
  <si>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</si>
  <si>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</si>
  <si>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</si>
  <si>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</si>
  <si>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</si>
  <si>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</si>
  <si>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</si>
  <si>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</si>
  <si>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</si>
  <si>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</si>
  <si>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</si>
  <si>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</si>
  <si>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</si>
  <si>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</si>
  <si>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</si>
  <si>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</si>
  <si>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</si>
  <si>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</si>
  <si>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</si>
  <si>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</si>
  <si>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</si>
  <si>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</si>
  <si>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</si>
  <si>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</si>
  <si>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</si>
  <si>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</si>
  <si>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</si>
  <si>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</si>
  <si>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</si>
  <si>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</si>
  <si>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</si>
  <si>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</si>
  <si>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</si>
  <si>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</si>
  <si>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</si>
  <si>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</si>
  <si>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</si>
  <si>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</si>
  <si>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</si>
  <si>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</si>
  <si>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</si>
  <si>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</si>
  <si>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</si>
  <si>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</si>
  <si>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</si>
  <si>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</si>
  <si>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</si>
  <si>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</si>
  <si>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</si>
  <si>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</si>
  <si>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</si>
  <si>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</si>
  <si>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</si>
  <si>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</si>
  <si>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</si>
  <si>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</si>
  <si>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</si>
  <si>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</si>
  <si>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</si>
  <si>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</si>
  <si>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</si>
  <si>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</si>
  <si>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</si>
  <si>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</si>
  <si>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</si>
  <si>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</si>
  <si>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</si>
  <si>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</si>
  <si>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</si>
  <si>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</si>
  <si>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</si>
  <si>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</si>
  <si>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</si>
  <si>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</si>
  <si>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</si>
  <si>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</si>
  <si>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</si>
  <si>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</si>
  <si>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</si>
  <si>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</si>
  <si>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</si>
  <si>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</si>
  <si>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</si>
  <si>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</si>
  <si>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</si>
  <si>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</si>
  <si>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</si>
  <si>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</si>
  <si>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</si>
  <si>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</si>
  <si>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</si>
  <si>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</si>
  <si>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</si>
  <si>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</si>
  <si>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</si>
  <si>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</si>
  <si>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</si>
  <si>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</si>
  <si>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</si>
  <si>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</si>
  <si>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</si>
  <si>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</si>
  <si>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</si>
  <si>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</si>
  <si>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</si>
  <si>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</si>
  <si>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</si>
  <si>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</si>
  <si>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</si>
  <si>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</si>
  <si>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</si>
  <si>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</si>
  <si>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</si>
  <si>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</si>
  <si>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</si>
  <si>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</si>
  <si>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</si>
  <si>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</si>
  <si>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</si>
  <si>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</si>
  <si>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</si>
  <si>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</si>
  <si>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</si>
  <si>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</si>
  <si>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</si>
  <si>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</si>
  <si>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</si>
  <si>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</si>
  <si>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</si>
  <si>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</si>
  <si>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</si>
  <si>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</si>
  <si>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</si>
  <si>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</si>
  <si>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</si>
  <si>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</si>
  <si>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</si>
  <si>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</si>
  <si>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</si>
  <si>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</si>
  <si>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</si>
  <si>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</si>
  <si>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</si>
  <si>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</si>
  <si>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</si>
  <si>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</si>
  <si>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</si>
  <si>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</si>
  <si>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</si>
  <si>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</si>
  <si>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</si>
  <si>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</si>
  <si>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</si>
  <si>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</si>
  <si>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</si>
  <si>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</si>
  <si>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</si>
  <si>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</si>
  <si>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</si>
  <si>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</si>
  <si>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</si>
  <si>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</si>
  <si>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</si>
  <si>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</si>
  <si>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</si>
  <si>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</si>
  <si>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</si>
  <si>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</si>
  <si>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</si>
  <si>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</si>
  <si>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</si>
  <si>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</si>
  <si>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</si>
  <si>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</si>
  <si>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</si>
  <si>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</si>
  <si>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</si>
  <si>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</si>
  <si>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</si>
  <si>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</si>
  <si>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</si>
  <si>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</si>
  <si>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</si>
  <si>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</si>
  <si>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</si>
  <si>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</si>
  <si>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</si>
  <si>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</si>
  <si>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</si>
  <si>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</si>
  <si>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</si>
  <si>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</si>
  <si>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</si>
  <si>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</si>
  <si>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</si>
  <si>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</si>
  <si>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</si>
  <si>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</si>
  <si>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</si>
  <si>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</si>
  <si>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</si>
  <si>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</si>
  <si>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</si>
  <si>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</si>
  <si>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</si>
  <si>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</si>
  <si>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</si>
  <si>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</si>
  <si>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</si>
  <si>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</si>
  <si>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</si>
  <si>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</si>
  <si>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</si>
  <si>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</si>
  <si>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</si>
  <si>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</si>
  <si>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</si>
  <si>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</si>
  <si>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</si>
  <si>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</si>
  <si>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</si>
  <si>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</si>
  <si>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</si>
  <si>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</si>
  <si>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</si>
  <si>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</si>
  <si>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</si>
  <si>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</si>
  <si>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</si>
  <si>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</si>
  <si>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</si>
  <si>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</si>
  <si>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</si>
  <si>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</si>
  <si>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</si>
  <si>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</si>
  <si>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</si>
  <si>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</si>
  <si>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</si>
  <si>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</si>
  <si>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</si>
  <si>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</si>
  <si>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</si>
  <si>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</si>
  <si>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</si>
  <si>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</si>
  <si>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</si>
  <si>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</si>
  <si>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</si>
  <si>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</si>
  <si>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</si>
  <si>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</si>
  <si>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</si>
  <si>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</si>
  <si>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</si>
  <si>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</si>
  <si>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</si>
  <si>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</si>
  <si>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</si>
  <si>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</si>
  <si>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</si>
  <si>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</si>
  <si>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</si>
  <si>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</si>
  <si>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</si>
  <si>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</si>
  <si>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</si>
  <si>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</si>
  <si>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</si>
  <si>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</si>
  <si>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</si>
  <si>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</si>
  <si>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</si>
  <si>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</si>
  <si>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</si>
  <si>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</si>
  <si>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</si>
  <si>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</si>
  <si>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</si>
  <si>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</si>
  <si>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</si>
  <si>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</si>
  <si>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</si>
  <si>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</si>
  <si>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</si>
  <si>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</si>
  <si>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</si>
  <si>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</si>
  <si>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</si>
  <si>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</si>
  <si>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</si>
  <si>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</si>
  <si>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</si>
  <si>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</si>
  <si>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</si>
  <si>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</si>
  <si>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</si>
  <si>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</si>
  <si>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</si>
  <si>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</si>
  <si>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</si>
  <si>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</si>
  <si>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</si>
  <si>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</si>
  <si>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</si>
  <si>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</si>
  <si>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</si>
  <si>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</si>
  <si>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</si>
  <si>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</si>
  <si>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</si>
  <si>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</si>
  <si>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</si>
  <si>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</si>
  <si>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</si>
  <si>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</si>
  <si>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</si>
  <si>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</si>
  <si>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</si>
  <si>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</si>
  <si>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</si>
  <si>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</si>
  <si>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</si>
  <si>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</si>
  <si>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</si>
  <si>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</si>
  <si>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</si>
  <si>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</si>
  <si>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</si>
  <si>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</si>
  <si>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</si>
  <si>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</si>
  <si>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</si>
  <si>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</si>
  <si>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</si>
  <si>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</si>
  <si>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</si>
  <si>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</si>
  <si>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</si>
  <si>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</si>
  <si>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</si>
  <si>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</si>
  <si>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</si>
  <si>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</si>
  <si>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</si>
  <si>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</si>
  <si>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</si>
  <si>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</si>
  <si>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</si>
  <si>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</si>
  <si>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</si>
  <si>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</si>
  <si>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</si>
  <si>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</si>
  <si>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</si>
  <si>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</si>
  <si>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</si>
  <si>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</si>
  <si>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</si>
  <si>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</si>
  <si>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</si>
  <si>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</si>
  <si>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</si>
  <si>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</si>
  <si>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</si>
  <si>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</si>
  <si>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</si>
  <si>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</si>
  <si>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</si>
  <si>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</si>
  <si>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</si>
  <si>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</si>
  <si>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</si>
  <si>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</si>
  <si>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</si>
  <si>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</si>
  <si>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</si>
  <si>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</si>
  <si>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</si>
  <si>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</si>
  <si>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</si>
  <si>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</si>
  <si>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</si>
  <si>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</si>
  <si>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</si>
  <si>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</si>
  <si>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</si>
  <si>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</si>
  <si>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</si>
  <si>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</si>
  <si>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</si>
  <si>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</si>
  <si>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</si>
  <si>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</si>
  <si>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</si>
  <si>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</si>
  <si>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</si>
  <si>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</si>
  <si>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</si>
  <si>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</si>
  <si>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</si>
  <si>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</si>
  <si>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</si>
  <si>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</si>
  <si>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</si>
  <si>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</si>
  <si>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</si>
  <si>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</si>
  <si>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</si>
  <si>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</si>
  <si>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</si>
  <si>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</si>
  <si>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</si>
  <si>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</si>
  <si>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</si>
  <si>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</si>
  <si>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</si>
  <si>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</si>
  <si>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</si>
  <si>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</si>
  <si>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</si>
  <si>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</si>
  <si>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</si>
  <si>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</si>
  <si>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</si>
  <si>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</si>
  <si>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</si>
  <si>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</si>
  <si>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</si>
  <si>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</si>
  <si>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</si>
  <si>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</si>
  <si>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</si>
  <si>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</si>
  <si>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</si>
  <si>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</si>
  <si>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</si>
  <si>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</si>
  <si>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</si>
  <si>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</si>
  <si>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</si>
  <si>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</si>
  <si>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</si>
  <si>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</si>
  <si>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</si>
  <si>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</si>
  <si>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</si>
  <si>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</si>
  <si>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</si>
  <si>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</si>
  <si>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</si>
  <si>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</si>
  <si>
    <t>UC22</t>
  </si>
  <si>
    <t>UC24</t>
  </si>
  <si>
    <t>TC-22-01</t>
  </si>
  <si>
    <t>Xem danh sách thực đơn (Chủ quán xem được toàn bộ món)</t>
  </si>
  <si>
    <t>UC22 Main Flow (bước 1); GET /api/menu-items</t>
  </si>
  <si>
    <t>Đã nạp lại schema.sql rồi seed.sql; server đang chạy; đã đăng nhập tài khoản chutquan01 (vai trò CHU_QUAN).</t>
  </si>
  <si>
    <t>GET /api/menu-items; Bearer token của chutquan01</t>
  </si>
  <si>
    <t>HTTP 200, success=true. data chứa danh sách tất cả các món ăn gồm: id, tenMon, gia, trangThai (CON_HANG, TAM_HET). Bảng thực đơn trên giao diện hiển thị đầy đủ các món.</t>
  </si>
  <si>
    <t>HTTP 200, success=true, trả về đầy đủ danh sách món kèm đơn giá và trạng thái bán. Giao diện vẽ bảng thực đơn chính xác.</t>
  </si>
  <si>
    <t>Khớp TC-22-01 trong tests/uc22.test.js</t>
  </si>
  <si>
    <t>TC-22-02</t>
  </si>
  <si>
    <t>Thêm món mới hợp lệ thành công (tên được chuẩn hóa bỏ khoảng trắng thừa)</t>
  </si>
  <si>
    <t>UC22 Main Flow (bước 2-6); POST /api/menu-items</t>
  </si>
  <si>
    <t>Đã đăng nhập chutquan01 (vai trò CHU_QUAN). Món "Cà phê muối" chưa tồn tại trong thực đơn.</t>
  </si>
  <si>
    <t>POST /api/menu-items; body: { tenMon: "  Cà   phê muối ", gia: 35000 }</t>
  </si>
  <si>
    <t>HTTP 201 Created. Tên món được tự động cắt gọn khoảng trắng thừa thành "Cà phê muối", gia = 35000, trangThai mặc định = "CON_HANG". Toast thông báo: "Đã thêm \"Cà phê muối\" vào thực đơn." và danh sách món được cập nhật ngay lập tức. CSDL có bản ghi mới trong bảng mon_an.</t>
  </si>
  <si>
    <t>TC-22-03</t>
  </si>
  <si>
    <t>Thêm món với tên trống hoặc chỉ chứa khoảng trắng (EF-1)</t>
  </si>
  <si>
    <t>EP (invalid class: tên món rỗng / toàn khoảng trắng)</t>
  </si>
  <si>
    <t>UC22 EF-1; POST /api/menu-items; mã lỗi TEN_MON_TRONG</t>
  </si>
  <si>
    <t>Đã đăng nhập chutquan01 (vai trò CHU_QUAN). Server đang chạy.</t>
  </si>
  <si>
    <t>(a) tenMon = "", gia = 35000
(b) tenMon = "   ", gia = 35000
(c) tenMon = undefined / null</t>
  </si>
  <si>
    <t>Giao diện: Hiển thị lỗi màu đỏ "Vui lòng nhập tên món" dưới ô tên món, focus về ô tên món.
API: HTTP 400 Bad Request, success=false, maLoi=TEN_MON_TRONG. Không ghi dữ liệu vào CSDL.</t>
  </si>
  <si>
    <t>TC-22-04</t>
  </si>
  <si>
    <t>Thêm món với tên vượt quá 100 ký tự (EF-2)</t>
  </si>
  <si>
    <t>BVA (ngay trên biên 100 ký tự: 101 ký tự)</t>
  </si>
  <si>
    <t>UC22 EF-2; POST /api/menu-items; mã lỗi TEN_MON_QUA_DAI</t>
  </si>
  <si>
    <t>tenMon = chuỗi 101 ký tự "A" ("A"×101), gia = 35000</t>
  </si>
  <si>
    <t>Giao diện: Thuộc tính maxlength="100" ngăn người dùng nhập quá 100 ký tự.
API: HTTP 400 Bad Request, success=false, maLoi=TEN_MON_QUA_DAI, message="Tên món tối đa 100 ký tự". Không lưu CSDL.</t>
  </si>
  <si>
    <t>TC-22-05</t>
  </si>
  <si>
    <t>Thêm món trùng tên đã có trong thực đơn (không phân biệt hoa thường) (EF-3)</t>
  </si>
  <si>
    <t>Black-box theo UC Spec (EF-3)</t>
  </si>
  <si>
    <t>UC22 EF-3; POST /api/menu-items; mã lỗi TEN_MON_DA_TON_TAI</t>
  </si>
  <si>
    <t>Đã đăng nhập chutquan01 (vai trò CHU_QUAN). Món "Cà phê đen" đã có sẵn trong thực đơn.</t>
  </si>
  <si>
    <t>tenMon = "CÀ PHÊ ĐEN" (viết hoa toàn bộ), gia = 30000</t>
  </si>
  <si>
    <t>HTTP 409 Conflict, success=false, maLoi=TEN_MON_DA_TON_TAI, message="Món \"Cà phê đen\" đã có trong thực đơn". Không tạo bản ghi trùng lặp trong CSDL.</t>
  </si>
  <si>
    <t>TC-22-06</t>
  </si>
  <si>
    <t>Giá món ở biên hợp lệ (1 đồng và 10.000.000 đồng)</t>
  </si>
  <si>
    <t>BVA (biên dưới = 1; biên trên = 10.000.000)</t>
  </si>
  <si>
    <t>UC22 Main Flow; POST /api/menu-items; BVA giá hợp lệ</t>
  </si>
  <si>
    <t>(a) tenMon = "Món giá 1 đồng", gia = 1
(b) tenMon = "Món giá 10 triệu", gia = 10000000</t>
  </si>
  <si>
    <t>HTTP 201 Created cho cả 2 trường hợp. Món được lưu thành công vào CSDL với đúng giá trị biên 1đ và 10.000.000đ.</t>
  </si>
  <si>
    <t>TC-22-07</t>
  </si>
  <si>
    <t>Giá món không hợp lệ: 0, số âm, vượt 10 triệu, số thập phân, chuỗi, null (EF-4)</t>
  </si>
  <si>
    <t>EP + BVA (invalid class &amp; ngoài biên)</t>
  </si>
  <si>
    <t>UC22 EF-4; POST /api/menu-items; mã lỗi GIA_KHONG_HOP_LE</t>
  </si>
  <si>
    <t>Thử các trường hợp gia:
(a) gia = 0
(b) gia = -1000
(c) gia = 10000001
(d) gia = 1500.5
(e) gia = "35000"
(f) gia = null</t>
  </si>
  <si>
    <t>Giao diện: Báo lỗi "Giá phải là số nguyên từ 1 đến 10.000.000 đồng" dưới ô giá.
API: HTTP 400 Bad Request, success=false, maLoi=GIA_KHONG_HOP_LE. Không lưu vào CSDL.</t>
  </si>
  <si>
    <t>TC-22-08</t>
  </si>
  <si>
    <t>Sửa giá món có sẵn trong thực đơn (AF-1)</t>
  </si>
  <si>
    <t>Black-box theo UC Spec (AF-1)</t>
  </si>
  <si>
    <t>UC22 AF-1; PATCH /api/menu-items/:id; capNhatGia</t>
  </si>
  <si>
    <t>Đã đăng nhập chutquan01 (vai trò CHU_QUAN). Món "Cà phê đen" (mon-01) đang có giá 25.000đ.</t>
  </si>
  <si>
    <t>PATCH /api/menu-items/mon-01; body: { gia: 28000 }</t>
  </si>
  <si>
    <t>HTTP 200 OK. CSDL cập nhật mon_an.gia = 28000, trạng thái giữ nguyên. Giao diện thông báo: "Đã đổi giá \"Cà phê đen\" thành 28.000đ." và cập nhật giá hiển thị.</t>
  </si>
  <si>
    <t>TC-22-09</t>
  </si>
  <si>
    <t>Tắt bán (chuyển Tạm hết) và Bật bán lại (chuyển Đang bán) (AF-2)</t>
  </si>
  <si>
    <t>Black-box theo UC Spec (AF-2)</t>
  </si>
  <si>
    <t>UC22 AF-2; PATCH /api/menu-items/:id; capNhatTrangThai</t>
  </si>
  <si>
    <t>Đã đăng nhập chutquan01 (vai trò CHU_QUAN). mon-01 đang "CON_HANG", mon-03 đang "TAM_HET".</t>
  </si>
  <si>
    <t>(a) PATCH /api/menu-items/mon-01 với { trangThai: "TAM_HET" }
(b) PATCH /api/menu-items/mon-03 với { trangThai: "CON_HANG" }</t>
  </si>
  <si>
    <t>HTTP 200 OK cho cả 2 thao tác:
(a) mon-01 chuyển sang TAM_HET, nhãn đổi "Tạm hết", nút đổi "Bật bán". Màn hình Phục vụ hiện món màu xám, nút "+ Thêm" bị vô hiệu hóa.
(b) mon-03 chuyển sang CON_HANG, nhãn đổi "Đang bán", nút đổi "Tắt bán". Màn hình Phục vụ cho phép gọi món bình thường.</t>
  </si>
  <si>
    <t>TC-22-10</t>
  </si>
  <si>
    <t>Sửa món không tồn tại trong hệ thống (EF-5)</t>
  </si>
  <si>
    <t>EP (invalid class: monId không tồn tại)</t>
  </si>
  <si>
    <t>UC22 EF-5; PATCH /api/menu-items/:id; mã lỗi MON_KHONG_TON_TAI</t>
  </si>
  <si>
    <t>Đã đăng nhập chutquan01 (vai trò CHU_QUAN). Mã mon-99 không tồn tại trong CSDL.</t>
  </si>
  <si>
    <t>PATCH /api/menu-items/mon-99; body: { gia: 28000 }</t>
  </si>
  <si>
    <t>HTTP 404 Not Found, success=false, maLoi=MON_KHONG_TON_TAI, message="Không tìm thấy món". Giao diện thông báo lỗi và tự động tải lại danh sách thực đơn.</t>
  </si>
  <si>
    <t>TC-22-11</t>
  </si>
  <si>
    <t>Sửa món với dữ liệu rỗng hoặc trạng thái không hợp lệ</t>
  </si>
  <si>
    <t>EP (invalid class: trạng thái ngoài ENUM / payload rỗng)</t>
  </si>
  <si>
    <t>UC22; PATCH /api/menu-items/:id; mã lỗi TRANG_THAI_KHONG_HOP_LE / DU_LIEU_KHONG_HOP_LE</t>
  </si>
  <si>
    <t>Đã đăng nhập chutquan01 (vai trò CHU_QUAN). Món mon-01 đang tồn tại.</t>
  </si>
  <si>
    <t>(a) PATCH /api/menu-items/mon-01; body: { gia: 28000, trangThai: "HET_HANG" }
(b) PATCH /api/menu-items/mon-01; body: {}</t>
  </si>
  <si>
    <t>(a) HTTP 400 Bad Request, maLoi=TRANG_THAI_KHONG_HOP_LE. Không sửa bất kỳ trường nào (kể cả giá gửi kèm).
(b) HTTP 400 Bad Request, maLoi=DU_LIEU_KHONG_HOP_LE, message="Không có thông tin cần sửa".</t>
  </si>
  <si>
    <t>TC-22-12</t>
  </si>
  <si>
    <t>Gọi API Quản lý menu khi chưa đăng nhập (EF-6 Security)</t>
  </si>
  <si>
    <t>EP (invalid class: thiếu Authorization header)</t>
  </si>
  <si>
    <t>UC22 EF-6; NFR-Security; middleware verifyToken; mã lỗi CHUA_DANG_NHAP</t>
  </si>
  <si>
    <t>Chưa đăng nhập, không có token Authorization.</t>
  </si>
  <si>
    <t>Gọi GET /api/menu-items, POST /api/menu-items, PATCH /api/menu-items/mon-01 không gửi header Authorization</t>
  </si>
  <si>
    <t>HTTP 401 Unauthorized, success=false, maLoi=CHUA_DANG_NHAP, message="Vui lòng đăng nhập". Hệ thống từ chối mọi yêu cầu và không thay đổi dữ liệu.</t>
  </si>
  <si>
    <t>TC-22-13</t>
  </si>
  <si>
    <t>Sai vai trò (Phục vụ, Barista, Thu ngân) gọi API Quản lý menu bị từ chối (EF-6 Security)</t>
  </si>
  <si>
    <t>EP (invalid class: vai trò không phải CHU_QUAN)</t>
  </si>
  <si>
    <t>UC22 EF-6; NFR-Security; middleware requireRole('CHU_QUAN'); mã lỗi KHONG_CO_QUYEN</t>
  </si>
  <si>
    <t>Đã đăng nhập với tài khoản vai trò PHUC_VU, BARISTA hoặc THU_NGAN (có token hợp lệ nhưng sai quyền).</t>
  </si>
  <si>
    <t>Dùng token PHUC_VU / BARISTA / THU_NGAN gọi GET, POST, PATCH /api/menu-items</t>
  </si>
  <si>
    <t>HTTP 403 Forbidden, success=false, maLoi=KHONG_CO_QUYEN, message="Bạn không có quyền thực hiện thao tác này". Không thêm/sửa món ăn.</t>
  </si>
  <si>
    <t>TC-22-14</t>
  </si>
  <si>
    <t>Black-box theo UC Spec (AF-3)</t>
  </si>
  <si>
    <t>TC-24-01</t>
  </si>
  <si>
    <t>Xem báo cáo doanh thu theo khoảng ngày hợp lệ</t>
  </si>
  <si>
    <t>UC24 Main Flow (bước 1-6); GET /api/reports/revenue</t>
  </si>
  <si>
    <t>Đã nạp lại schema.sql rồi seed.sql; đã đăng nhập tài khoản chutquan01 (vai trò CHU_QUAN). Trong khoảng ngày chọn có các đơn hàng thanh toán thành công.</t>
  </si>
  <si>
    <t>GET /api/reports/revenue?tuNgay=2026-10-10&amp;denNgay=2026-10-12 với Bearer token của chutquan01</t>
  </si>
  <si>
    <t>HTTP 200 OK. data trả về gồm: tuNgay, denNgay, soDon, doanhThu, trungBinhDon (làm tròn đến đồng); theoPhuongThuc gồm đủ 2 phương thức TIEN_MAT và QR (kể cả phương thức có doanh thu = 0); theoNgay gồm doanh thu từng ngày; topMon gồm tối đa 5 món bán chạy nhất (không tính món đã hủy).</t>
  </si>
  <si>
    <t>TC-24-02</t>
  </si>
  <si>
    <t>Truy vấn dữ liệu tính trọn vẹn mốc thời gian từ 00:00:00 ngày đầu đến trước 00:00:00 ngày sau ngày cuối</t>
  </si>
  <si>
    <t>Functional / Boundary</t>
  </si>
  <si>
    <t>UC24 Main Flow (bước 5); BaoCaoService.layBaoCao</t>
  </si>
  <si>
    <t>GET /api/reports/revenue?tuNgay=2026-10-10&amp;denNgay=2026-10-12</t>
  </si>
  <si>
    <t>Các hàm trong BaoCaoRepository được gọi với khoảng mốc thời gian chuẩn: tuLuc = "2026-10-10 00:00:00" đến denTruoc = "2026-10-13 00:00:00", đảm bảo tính trọn vẹn tất cả giao dịch đến 23:59:59 của ngày kết thúc.</t>
  </si>
  <si>
    <t>TC-24-03</t>
  </si>
  <si>
    <t>Biên ngày cuối tháng hoặc cuối năm vẫn cộng mốc giờ chính xác</t>
  </si>
  <si>
    <t>BVA (ranh giới ngày cuối năm 31/12)</t>
  </si>
  <si>
    <t>UC24; BaoCaoService.vietNgay; BVA ngày</t>
  </si>
  <si>
    <t>Đã đăng nhập chutquan01 (vai trò CHU_QUAN).</t>
  </si>
  <si>
    <t>GET /api/reports/revenue?tuNgay=2026-12-31 (xem báo cáo ngày cuối năm)</t>
  </si>
  <si>
    <t>HTTP 200 OK. Mốc giờ denTruoc được tính chính xác sang năm mới: "2026-12-31 00:00:00" đến "2027-01-01 00:00:00" (không bị tràn tháng hay lỗi ngày phi lý).</t>
  </si>
  <si>
    <t>TC-24-04</t>
  </si>
  <si>
    <t>Không truyền tham số ngày -&gt; Mặc định xem báo cáo ngày hôm nay (AF-2 / Main Flow bước 1)</t>
  </si>
  <si>
    <t>Functional (mặc định / AF-2)</t>
  </si>
  <si>
    <t>UC24 Main Flow (bước 1) &amp; AF-2; GET /api/reports/revenue</t>
  </si>
  <si>
    <t>GET /api/reports/revenue (không truyền query param tuNgay, denNgay)</t>
  </si>
  <si>
    <t>HTTP 200 OK. Hệ thống tự động điền tuNgay = denNgay = ngày hiện tại của máy chủ dạng YYYY-MM-DD và trả về báo cáo của ngày hôm nay.</t>
  </si>
  <si>
    <t>TC-24-05</t>
  </si>
  <si>
    <t>Khoảng ngày không có giao dịch thanh toán thành công (AF-3)</t>
  </si>
  <si>
    <t>UC24 AF-3; BaoCaoService; xử lý Division by Zero</t>
  </si>
  <si>
    <t>Đã đăng nhập chutquan01 (vai trò CHU_QUAN). Ngày 2026-10-13 chưa có giao dịch nào thành công.</t>
  </si>
  <si>
    <t>GET /api/reports/revenue?tuNgay=2026-10-13&amp;denNgay=2026-10-13</t>
  </si>
  <si>
    <t>HTTP 200 OK. soDon = 0, doanhThu = 0, trungBinhDon = 0 (tránh chia cho 0), theoNgay = [], topMon = []. Giao diện hiển thị: doanh thu 0đ, 0 đơn; các bảng báo "Chưa có món nào được bán trong khoảng này." và "Chưa có doanh thu trong khoảng này."</t>
  </si>
  <si>
    <t>TC-24-06</t>
  </si>
  <si>
    <t>Ngày sai định dạng hoặc là ngày không có thật trong lịch (EF-4)</t>
  </si>
  <si>
    <t>EP (invalid class: định dạng ngày sai / ngày phi lý)</t>
  </si>
  <si>
    <t>UC24 EF-4; GET /api/reports/revenue; mã lỗi NGAY_KHONG_HOP_LE</t>
  </si>
  <si>
    <t>Thử các giá trị tuNgay:
(a) tuNgay = "10/10/2026" (sai format DD/MM/YYYY)
(b) tuNgay = "2026-02-30" (ngày 30/02 không tồn tại)
(c) tuNgay = "2026-13-01" (tháng 13 không tồn tại)
(d) tuNgay = "abc" (chuỗi ký tự chữ)</t>
  </si>
  <si>
    <t>HTTP 400 Bad Request, success=false, maLoi=NGAY_KHONG_HOP_LE, message="Ngày phải có dạng YYYY-MM-DD và là ngày có thật". Hệ thống không thực hiện truy vấn SQL vào CSDL.</t>
  </si>
  <si>
    <t>TC-24-07</t>
  </si>
  <si>
    <t>"Từ ngày" sau "Đến ngày" hoặc khoảng ngày vượt quá 366 ngày (EF-2, EF-3, Boundary 366 ngày)</t>
  </si>
  <si>
    <t>BVA (ngưỡng 366 ngày) + EP (khoảng ngày ngược)</t>
  </si>
  <si>
    <t>UC24 EF-2 &amp; EF-3; GET /api/reports/revenue; mã lỗi KHOANG_NGAY_KHONG_HOP_LE</t>
  </si>
  <si>
    <t>(a) tuNgay = "2026-10-13", denNgay = "2026-10-01" ("Từ ngày" sau "Đến ngày")
(b) tuNgay = "2025-01-01", denNgay = "2026-10-13" (651 ngày &gt; 366 ngày)
(c) tuNgay = "2025-10-14", denNgay = "2026-10-14" (đúng 366 ngày - biên trên hợp lệ)</t>
  </si>
  <si>
    <t>(a) HTTP 400 Bad Request, maLoi=KHOANG_NGAY_KHONG_HOP_LE, message="\"Từ ngày\" không được sau \"Đến ngày\"".
(b) HTTP 400 Bad Request, maLoi=KHOANG_NGAY_KHONG_HOP_LE, message="Chỉ xem tối đa 366 ngày mỗi lần".
(c) HTTP 200 OK (biên đúng 366 ngày được chấp nhận).</t>
  </si>
  <si>
    <t>TC-24-08</t>
  </si>
  <si>
    <t>Phân quyền truy cập báo cáo doanh thu: chưa đăng nhập hoặc sai vai trò bị từ chối (EF-5 Security)</t>
  </si>
  <si>
    <t>EP (invalid class: thiếu token / sai vai trò)</t>
  </si>
  <si>
    <t>UC24 EF-5; NFR-Security; middleware verifyToken &amp; requireRole('CHU_QUAN'); mã lỗi CHUA_DANG_NHAP / KHONG_CO_QUYEN</t>
  </si>
  <si>
    <t>Server đang chạy.</t>
  </si>
  <si>
    <t>(a) GET /api/reports/revenue không gửi kèm token Authorization
(b) GET /api/reports/revenue với token của tài khoản vai trò PHUC_VU, BARISTA hoặc THU_NGAN</t>
  </si>
  <si>
    <t>(a) HTTP 401 Unauthorized, maLoi=CHUA_DANG_NHAP, message="Vui lòng đăng nhập".
(b) HTTP 403 Forbidden, maLoi=KHONG_CO_QUYEN, message="Bạn không có quyền thực hiện thao tác này". Không để lộ dữ liệu kinh doanh của quán cho vai trò khác.</t>
  </si>
  <si>
    <t>TC-24-09</t>
  </si>
  <si>
    <t>Chọn nhanh khoảng ngày ("Hôm nay", "7 ngày qua", "Tháng này") trên giao diện (AF-1)</t>
  </si>
  <si>
    <t>UC24 AF-1; nút [data-nhanh] trên giao diện bao-cao.html</t>
  </si>
  <si>
    <t>Đã đăng nhập chutquan01 (vai trò CHU_QUAN). Mở trang Báo cáo doanh thu (bao-cao.html).</t>
  </si>
  <si>
    <t>Lần lượt click các nút:
(a) Nút "Hôm nay"
(b) Nút "7 ngày qua"
(c) Nút "Tháng này"</t>
  </si>
  <si>
    <t>Hệ thống tự động tính toán và điền chính xác vào 2 ô "Từ ngày" và "Đến ngày", đồng thời gọi API tải lại báo cáo ngay:
(a) "Hôm nay": Từ ngày = Đến ngày = ngày hiện tại
(b) "7 ngày qua": Từ ngày = ngày hiện tại - 6 ngày; Đến ngày = ngày hiện tại
(c) "Tháng này": Từ ngày = ngày 01 của tháng hiện tại; Đến ngày = ngày hiện tại</t>
  </si>
  <si>
    <t>TC-24-10</t>
  </si>
  <si>
    <t>Bỏ trống "Từ ngày" khi xem báo cáo trên giao diện (EF-1)</t>
  </si>
  <si>
    <t>EP (invalid class: thiếu trường bắt buộc trên UI)</t>
  </si>
  <si>
    <t>UC24 EF-1; hàm taiBaoCao() trong bao-cao.js</t>
  </si>
  <si>
    <t>Đã đăng nhập chutquan01 (vai trò CHU_QUAN). Mở trang Báo cáo doanh thu.</t>
  </si>
  <si>
    <t>Xóa trống giá trị ở ô "Từ ngày", nhấn nút "Xem báo cáo"</t>
  </si>
  <si>
    <t>Giao diện chặn không gửi request lên server. Hiển thị thông báo lỗi màu đỏ: "Vui lòng chọn \"Từ ngày\"." ngay dưới hàng bộ lọc và tự động focus vào ô "Từ ngày".</t>
  </si>
  <si>
    <t>KQ-test\TC-22-02.png</t>
  </si>
  <si>
    <t>KQ-test\TC-22-03.png</t>
  </si>
  <si>
    <t>Kiểm tra giữ nguyên trạng thái món khi Chủ quán đã chủ động "Tắt bán"</t>
  </si>
  <si>
    <t>Integration Testing (Business Logic Conflict)</t>
  </si>
  <si>
    <t>UC18 &amp; UC22; POST /api/inventory/:id/restock; KhoHangRepository.js (hàm dongBoTrangThaiMonAn)</t>
  </si>
  <si>
    <t>- Món "Cà phê đen" có công thức gồm nguyên liệu "Hạt cà phê Robusta" (tồn kho &gt; 0).
- Chủ quán vào trang Quản lý menu, bấm "Tắt bán" món "Cà phê đen" (chuyển sang TAM_HET do quán tạm ngưng phục vụ).</t>
  </si>
  <si>
    <t>1. Barista thực hiện nhập thêm kho cho nguyên liệu "Hạt cà phê Robusta": POST /api/inventory/nl-01/restock với { soLuong: 10 }.
2. Kiểm tra lại trạng thái của món "Cà phê đen" trong bảng mon_an và trên menu Phục vụ.</t>
  </si>
  <si>
    <t>Món "Cà phê đen" vẫn phải giữ nguyên trạng thái TAM_HET vì Chủ quán đã chủ động tắt bán.</t>
  </si>
  <si>
    <t>Giao diện chỉ cho phép người dùng nhập giới hạn 100 ký tự không cho nhập hơn.</t>
  </si>
  <si>
    <t>KQ-test\TC-22-04.png</t>
  </si>
  <si>
    <t>KQ-test\TC-22-05.png</t>
  </si>
  <si>
    <t>KQ-test\TC-22-06.png</t>
  </si>
  <si>
    <t>KQ-test\TC-22-08.png</t>
  </si>
  <si>
    <t>KQ-test\TC-22-09.png</t>
  </si>
  <si>
    <t>KQ-test\TC-22-10.png</t>
  </si>
  <si>
    <t>KQ-test\TC-22-12.png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</si>
</sst>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charset val="1"/>
    </font>
    <font>
      <sz val="11"/>
      <color theme="1"/>
      <name val="Calibri"/>
      <family val="2"/>
      <scheme val="minor"/>
    </font>
    <font>
      <b/>
      <sz val="14"/>
      <color rgb="FF1F3864"/>
      <name val="Arial"/>
      <family val="2"/>
    </font>
    <font>
      <b/>
      <sz val="10"/>
      <color rgb="FF000000"/>
      <name val="Arial"/>
      <family val="2"/>
    </font>
    <font>
      <sz val="10"/>
      <color rgb="FF000000"/>
      <name val="Arial"/>
      <family val="2"/>
    </font>
    <font>
      <b/>
      <sz val="10"/>
      <color rgb="FFFFFFFF"/>
      <name val="Arial"/>
      <family val="2"/>
    </font>
    <font>
      <b/>
      <sz val="11"/>
      <color rgb="FF1F3864"/>
      <name val="Arial"/>
      <family val="2"/>
    </font>
    <font>
      <u/>
      <sz val="11"/>
      <color theme="10"/>
      <name val="Calibri"/>
      <family val="2"/>
      <charset val="1"/>
    </font>
    <font>
      <sz val="8"/>
      <name val="Calibri"/>
      <family val="2"/>
      <charset val="1"/>
    </font>
    <font>
      <sz val="10"/>
      <name val="Arial"/>
      <family val="2"/>
    </font>
    <font>
      <sz val="10"/>
      <color rgb="FF000000"/>
      <name val="Arial"/>
      <family val="2"/>
    </font>
    <font>
      <b/>
      <sz val="10"/>
      <color rgb="FF9C0006"/>
      <name val="Arial"/>
      <family val="2"/>
    </font>
    <font>
      <sz val="10"/>
      <color rgb="FF000000"/>
      <name val="Arial"/>
      <family val="2"/>
    </font>
  </fonts>
  <fills count="7">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
      <patternFill patternType="solid">
        <fgColor theme="0"/>
        <bgColor rgb="FFFFC7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7" fillId="0" borderId="0" applyNumberFormat="0" applyFill="0" applyBorder="0" applyAlignment="0" applyProtection="0"/>
    <xf numFmtId="0" fontId="1" fillId="0" borderId="0"/>
  </cellStyleXfs>
  <cellXfs count="24">
    <xf numFmtId="0" fontId="0" fillId="0" borderId="0" xfId="0"/>
    <xf numFmtId="0" fontId="4" fillId="0" borderId="1" xfId="0" applyFont="1" applyBorder="1" applyAlignment="1">
      <alignment vertical="top" wrapText="1"/>
    </xf>
    <xf numFmtId="0" fontId="2" fillId="0" borderId="0" xfId="0" applyFont="1"/>
    <xf numFmtId="0" fontId="3" fillId="3" borderId="1" xfId="0" applyFont="1" applyFill="1" applyBorder="1" applyAlignment="1">
      <alignment vertical="top" wrapText="1"/>
    </xf>
    <xf numFmtId="0" fontId="5"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4" fillId="0" borderId="1" xfId="0" applyFont="1" applyBorder="1" applyAlignment="1">
      <alignment horizontal="center" vertical="top" wrapText="1"/>
    </xf>
    <xf numFmtId="0" fontId="3" fillId="0" borderId="1" xfId="0" applyFont="1" applyBorder="1" applyAlignment="1">
      <alignment vertical="top" wrapText="1"/>
    </xf>
    <xf numFmtId="0" fontId="5" fillId="5" borderId="1" xfId="0" applyFont="1" applyFill="1" applyBorder="1" applyAlignment="1">
      <alignment horizontal="center" vertical="center" wrapText="1"/>
    </xf>
    <xf numFmtId="164" fontId="4" fillId="0" borderId="1" xfId="0" applyNumberFormat="1" applyFont="1" applyBorder="1" applyAlignment="1">
      <alignment horizontal="center" vertical="top" wrapText="1"/>
    </xf>
    <xf numFmtId="0" fontId="3" fillId="3" borderId="1" xfId="0" applyFont="1" applyFill="1" applyBorder="1" applyAlignment="1">
      <alignment horizontal="center" vertical="top" wrapText="1"/>
    </xf>
    <xf numFmtId="0" fontId="4" fillId="3" borderId="1" xfId="0" applyFont="1" applyFill="1" applyBorder="1" applyAlignment="1">
      <alignment vertical="top" wrapText="1"/>
    </xf>
    <xf numFmtId="164" fontId="3" fillId="3" borderId="1" xfId="0" applyNumberFormat="1" applyFont="1" applyFill="1" applyBorder="1" applyAlignment="1">
      <alignment horizontal="center" vertical="top" wrapText="1"/>
    </xf>
    <xf numFmtId="0" fontId="6" fillId="0" borderId="0" xfId="0" applyFont="1"/>
    <xf numFmtId="0" fontId="7" fillId="0" borderId="1" xfId="1" applyBorder="1" applyAlignment="1">
      <alignment vertical="top" wrapText="1"/>
    </xf>
    <xf numFmtId="0" fontId="9" fillId="0" borderId="1" xfId="0" applyFont="1" applyBorder="1" applyAlignment="1">
      <alignment horizontal="center" vertical="top" wrapText="1"/>
    </xf>
    <xf numFmtId="0" fontId="9" fillId="0" borderId="1" xfId="0" applyFont="1" applyBorder="1" applyAlignment="1">
      <alignment vertical="top" wrapText="1"/>
    </xf>
    <xf numFmtId="0" fontId="10" fillId="0" borderId="1" xfId="2" applyFont="1" applyBorder="1" applyAlignment="1">
      <alignment horizontal="center" vertical="top" wrapText="1"/>
    </xf>
    <xf numFmtId="0" fontId="10" fillId="0" borderId="1" xfId="2" applyFont="1" applyBorder="1" applyAlignment="1">
      <alignment horizontal="left" vertical="top" wrapText="1"/>
    </xf>
    <xf numFmtId="0" fontId="12" fillId="0" borderId="1" xfId="2" applyFont="1" applyBorder="1" applyAlignment="1">
      <alignment horizontal="center" vertical="top" wrapText="1"/>
    </xf>
    <xf numFmtId="0" fontId="11" fillId="6" borderId="1" xfId="2" applyFont="1" applyFill="1" applyBorder="1" applyAlignment="1">
      <alignment horizontal="center" vertical="top" wrapText="1"/>
    </xf>
    <xf numFmtId="0" fontId="4" fillId="0" borderId="1" xfId="0" applyFont="1" applyBorder="1" applyAlignment="1">
      <alignment vertical="top" wrapText="1"/>
    </xf>
    <xf numFmtId="0" fontId="4" fillId="4" borderId="1" xfId="0" applyFont="1" applyFill="1" applyBorder="1" applyAlignment="1">
      <alignment vertical="top" wrapText="1"/>
    </xf>
    <xf numFmtId="0" fontId="7" fillId="0" borderId="1" xfId="1" applyBorder="1" applyAlignment="1">
      <alignment horizontal="center" vertical="top" wrapText="1"/>
    </xf>
  </cellXfs>
  <cellStyles count="3">
    <cellStyle name="Hyperlink" xfId="1" builtinId="8"/>
    <cellStyle name="Normal" xfId="0" builtinId="0"/>
    <cellStyle name="Normal 2" xfId="2" xr:uid="{5FAD4E6F-4F20-44E1-AD8C-2B89C9EDDB5E}"/>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21" Type="http://schemas.openxmlformats.org/officeDocument/2006/relationships/hyperlink" Target="KQ-test\TC-01-10.png" TargetMode="External"/><Relationship Id="rId34" Type="http://schemas.openxmlformats.org/officeDocument/2006/relationships/hyperlink" Target="KQ-test\TC-22-06.png" TargetMode="External"/><Relationship Id="rId7" Type="http://schemas.openxmlformats.org/officeDocument/2006/relationships/hyperlink" Target="KQ-test\TC-21-09.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33" Type="http://schemas.openxmlformats.org/officeDocument/2006/relationships/hyperlink" Target="KQ-test\TC-22-05.png" TargetMode="External"/><Relationship Id="rId38" Type="http://schemas.openxmlformats.org/officeDocument/2006/relationships/hyperlink" Target="KQ-test\TC-22-12.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0" Type="http://schemas.openxmlformats.org/officeDocument/2006/relationships/hyperlink" Target="KQ-test\TC-10-07.png" TargetMode="External"/><Relationship Id="rId29" Type="http://schemas.openxmlformats.org/officeDocument/2006/relationships/hyperlink" Target="KQ-test\TC-21-11.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32" Type="http://schemas.openxmlformats.org/officeDocument/2006/relationships/hyperlink" Target="KQ-test\TC-22-04.png" TargetMode="External"/><Relationship Id="rId37" Type="http://schemas.openxmlformats.org/officeDocument/2006/relationships/hyperlink" Target="KQ-test\TC-22-10.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36" Type="http://schemas.openxmlformats.org/officeDocument/2006/relationships/hyperlink" Target="KQ-test\TC-22-09.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31" Type="http://schemas.openxmlformats.org/officeDocument/2006/relationships/hyperlink" Target="KQ-test\TC-22-03.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 Id="rId30" Type="http://schemas.openxmlformats.org/officeDocument/2006/relationships/hyperlink" Target="KQ-test\TC-22-02.png" TargetMode="External"/><Relationship Id="rId35" Type="http://schemas.openxmlformats.org/officeDocument/2006/relationships/hyperlink" Target="KQ-test\TC-22-08.png" TargetMode="External"/><Relationship Id="rId8" Type="http://schemas.openxmlformats.org/officeDocument/2006/relationships/hyperlink" Target="KQ-test\TC-01-01.png" TargetMode="External"/><Relationship Id="rId3" Type="http://schemas.openxmlformats.org/officeDocument/2006/relationships/hyperlink" Target="KQ-test\TC-21-03.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89"/>
  <sheetViews>
    <sheetView tabSelected="1" zoomScale="85" zoomScaleNormal="70" workbookViewId="0">
      <pane xSplit="3" ySplit="1" topLeftCell="I75" activePane="bottomRight" state="frozen"/>
      <selection pane="topRight" activeCell="D1" sqref="D1"/>
      <selection pane="bottomLeft" activeCell="A3" sqref="A3"/>
      <selection pane="bottomRight" activeCell="M77" sqref="M77"/>
    </sheetView>
  </sheetViews>
  <sheetFormatPr defaultColWidth="8.7109375" defaultRowHeight="15" x14ac:dyDescent="0.2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x14ac:dyDescent="0.25">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89.25" x14ac:dyDescent="0.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x14ac:dyDescent="0.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38.25" x14ac:dyDescent="0.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x14ac:dyDescent="0.25">
      <c r="A5" s="5" t="s">
        <v>137</v>
      </c>
      <c r="B5" s="6" t="s">
        <v>5</v>
      </c>
      <c r="C5" s="1" t="s">
        <v>138</v>
      </c>
      <c r="D5" s="1" t="s">
        <v>54</v>
      </c>
      <c r="E5" s="1" t="s">
        <v>139</v>
      </c>
      <c r="F5" s="1" t="s">
        <v>140</v>
      </c>
      <c r="G5" s="6" t="s">
        <v>40</v>
      </c>
      <c r="H5" s="1" t="s">
        <v>123</v>
      </c>
      <c r="I5" s="1" t="s">
        <v>141</v>
      </c>
      <c r="J5" s="1" t="s">
        <v>142</v>
      </c>
      <c r="K5" s="1" t="s">
        <v>477</v>
      </c>
      <c r="L5" s="6" t="s">
        <v>459</v>
      </c>
      <c r="M5" s="1"/>
      <c r="N5" s="1"/>
    </row>
    <row r="6" spans="1:14" ht="51" x14ac:dyDescent="0.25">
      <c r="A6" s="5" t="s">
        <v>143</v>
      </c>
      <c r="B6" s="6" t="s">
        <v>5</v>
      </c>
      <c r="C6" s="1" t="s">
        <v>144</v>
      </c>
      <c r="D6" s="1" t="s">
        <v>54</v>
      </c>
      <c r="E6" s="1" t="s">
        <v>145</v>
      </c>
      <c r="F6" s="1" t="s">
        <v>140</v>
      </c>
      <c r="G6" s="6" t="s">
        <v>40</v>
      </c>
      <c r="H6" s="1" t="s">
        <v>123</v>
      </c>
      <c r="I6" s="1" t="s">
        <v>146</v>
      </c>
      <c r="J6" s="1" t="s">
        <v>147</v>
      </c>
      <c r="K6" s="1" t="s">
        <v>477</v>
      </c>
      <c r="L6" s="6" t="s">
        <v>459</v>
      </c>
      <c r="M6" s="1"/>
      <c r="N6" s="1"/>
    </row>
    <row r="7" spans="1:14" ht="51" x14ac:dyDescent="0.25">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x14ac:dyDescent="0.25">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38.25" x14ac:dyDescent="0.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x14ac:dyDescent="0.25">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x14ac:dyDescent="0.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102" x14ac:dyDescent="0.25">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89.25" x14ac:dyDescent="0.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89.25" x14ac:dyDescent="0.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89.25" x14ac:dyDescent="0.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89.25" x14ac:dyDescent="0.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89.25" x14ac:dyDescent="0.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x14ac:dyDescent="0.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102" x14ac:dyDescent="0.25">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x14ac:dyDescent="0.25">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x14ac:dyDescent="0.2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x14ac:dyDescent="0.25">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x14ac:dyDescent="0.25">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25.5" x14ac:dyDescent="0.2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x14ac:dyDescent="0.25">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25.5" x14ac:dyDescent="0.2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25.5" x14ac:dyDescent="0.2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25.5" x14ac:dyDescent="0.2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25.5" x14ac:dyDescent="0.2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76.5" x14ac:dyDescent="0.2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51" x14ac:dyDescent="0.25">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ht="51" x14ac:dyDescent="0.25">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51" x14ac:dyDescent="0.25">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51" x14ac:dyDescent="0.25">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63.75" x14ac:dyDescent="0.2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x14ac:dyDescent="0.25">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x14ac:dyDescent="0.2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x14ac:dyDescent="0.2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x14ac:dyDescent="0.2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x14ac:dyDescent="0.2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x14ac:dyDescent="0.2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ht="25.5" x14ac:dyDescent="0.2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x14ac:dyDescent="0.25">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x14ac:dyDescent="0.2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25.5" x14ac:dyDescent="0.2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25.5" x14ac:dyDescent="0.2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x14ac:dyDescent="0.25">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x14ac:dyDescent="0.25">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x14ac:dyDescent="0.2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25.5" x14ac:dyDescent="0.2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25.5" x14ac:dyDescent="0.2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25.5" x14ac:dyDescent="0.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25.5" x14ac:dyDescent="0.2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25.5" x14ac:dyDescent="0.2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51" x14ac:dyDescent="0.25">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38.25" x14ac:dyDescent="0.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51" x14ac:dyDescent="0.25">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x14ac:dyDescent="0.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38.25" x14ac:dyDescent="0.25">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38.25" x14ac:dyDescent="0.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38.25" x14ac:dyDescent="0.2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x14ac:dyDescent="0.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51" x14ac:dyDescent="0.25">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x14ac:dyDescent="0.25">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x14ac:dyDescent="0.25">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row r="66" spans="1:14" ht="51" x14ac:dyDescent="0.25">
      <c r="A66" s="15" t="s">
        <v>520</v>
      </c>
      <c r="B66" s="15" t="s">
        <v>518</v>
      </c>
      <c r="C66" s="16" t="s">
        <v>521</v>
      </c>
      <c r="D66" s="16" t="s">
        <v>37</v>
      </c>
      <c r="E66" s="16" t="s">
        <v>38</v>
      </c>
      <c r="F66" s="16" t="s">
        <v>522</v>
      </c>
      <c r="G66" s="15" t="s">
        <v>40</v>
      </c>
      <c r="H66" s="16" t="s">
        <v>523</v>
      </c>
      <c r="I66" s="16" t="s">
        <v>524</v>
      </c>
      <c r="J66" s="16" t="s">
        <v>525</v>
      </c>
      <c r="K66" s="16" t="s">
        <v>526</v>
      </c>
      <c r="L66" s="15" t="s">
        <v>459</v>
      </c>
      <c r="M66" s="16"/>
      <c r="N66" s="16" t="s">
        <v>527</v>
      </c>
    </row>
    <row r="67" spans="1:14" ht="63.75" x14ac:dyDescent="0.25">
      <c r="A67" s="15" t="s">
        <v>528</v>
      </c>
      <c r="B67" s="15" t="s">
        <v>518</v>
      </c>
      <c r="C67" s="16" t="s">
        <v>529</v>
      </c>
      <c r="D67" s="16" t="s">
        <v>37</v>
      </c>
      <c r="E67" s="16" t="s">
        <v>38</v>
      </c>
      <c r="F67" s="16" t="s">
        <v>530</v>
      </c>
      <c r="G67" s="15" t="s">
        <v>40</v>
      </c>
      <c r="H67" s="16" t="s">
        <v>531</v>
      </c>
      <c r="I67" s="16" t="s">
        <v>532</v>
      </c>
      <c r="J67" s="16" t="s">
        <v>533</v>
      </c>
      <c r="K67" s="16" t="s">
        <v>529</v>
      </c>
      <c r="L67" s="15" t="s">
        <v>459</v>
      </c>
      <c r="M67" s="14" t="s">
        <v>673</v>
      </c>
      <c r="N67" s="16"/>
    </row>
    <row r="68" spans="1:14" ht="63.75" x14ac:dyDescent="0.25">
      <c r="A68" s="15" t="s">
        <v>534</v>
      </c>
      <c r="B68" s="15" t="s">
        <v>518</v>
      </c>
      <c r="C68" s="16" t="s">
        <v>535</v>
      </c>
      <c r="D68" s="16" t="s">
        <v>54</v>
      </c>
      <c r="E68" s="16" t="s">
        <v>536</v>
      </c>
      <c r="F68" s="16" t="s">
        <v>537</v>
      </c>
      <c r="G68" s="15" t="s">
        <v>40</v>
      </c>
      <c r="H68" s="16" t="s">
        <v>538</v>
      </c>
      <c r="I68" s="16" t="s">
        <v>539</v>
      </c>
      <c r="J68" s="16" t="s">
        <v>540</v>
      </c>
      <c r="K68" s="16" t="s">
        <v>540</v>
      </c>
      <c r="L68" s="15" t="s">
        <v>459</v>
      </c>
      <c r="M68" s="14" t="s">
        <v>674</v>
      </c>
      <c r="N68" s="16"/>
    </row>
    <row r="69" spans="1:14" ht="63.75" x14ac:dyDescent="0.25">
      <c r="A69" s="15" t="s">
        <v>541</v>
      </c>
      <c r="B69" s="15" t="s">
        <v>518</v>
      </c>
      <c r="C69" s="16" t="s">
        <v>542</v>
      </c>
      <c r="D69" s="16" t="s">
        <v>74</v>
      </c>
      <c r="E69" s="16" t="s">
        <v>543</v>
      </c>
      <c r="F69" s="16" t="s">
        <v>544</v>
      </c>
      <c r="G69" s="15" t="s">
        <v>63</v>
      </c>
      <c r="H69" s="16" t="s">
        <v>538</v>
      </c>
      <c r="I69" s="16" t="s">
        <v>545</v>
      </c>
      <c r="J69" s="16" t="s">
        <v>546</v>
      </c>
      <c r="K69" s="16" t="s">
        <v>681</v>
      </c>
      <c r="L69" s="15" t="s">
        <v>459</v>
      </c>
      <c r="M69" s="14" t="s">
        <v>682</v>
      </c>
      <c r="N69" s="16"/>
    </row>
    <row r="70" spans="1:14" ht="51" x14ac:dyDescent="0.25">
      <c r="A70" s="15" t="s">
        <v>547</v>
      </c>
      <c r="B70" s="15" t="s">
        <v>518</v>
      </c>
      <c r="C70" s="16" t="s">
        <v>548</v>
      </c>
      <c r="D70" s="16" t="s">
        <v>20</v>
      </c>
      <c r="E70" s="16" t="s">
        <v>549</v>
      </c>
      <c r="F70" s="16" t="s">
        <v>550</v>
      </c>
      <c r="G70" s="15" t="s">
        <v>40</v>
      </c>
      <c r="H70" s="16" t="s">
        <v>551</v>
      </c>
      <c r="I70" s="16" t="s">
        <v>552</v>
      </c>
      <c r="J70" s="16" t="s">
        <v>553</v>
      </c>
      <c r="K70" s="16" t="s">
        <v>553</v>
      </c>
      <c r="L70" s="15" t="s">
        <v>459</v>
      </c>
      <c r="M70" s="14" t="s">
        <v>683</v>
      </c>
      <c r="N70" s="16"/>
    </row>
    <row r="71" spans="1:14" ht="38.25" x14ac:dyDescent="0.25">
      <c r="A71" s="15" t="s">
        <v>554</v>
      </c>
      <c r="B71" s="15" t="s">
        <v>518</v>
      </c>
      <c r="C71" s="16" t="s">
        <v>555</v>
      </c>
      <c r="D71" s="16" t="s">
        <v>74</v>
      </c>
      <c r="E71" s="16" t="s">
        <v>556</v>
      </c>
      <c r="F71" s="16" t="s">
        <v>557</v>
      </c>
      <c r="G71" s="15" t="s">
        <v>40</v>
      </c>
      <c r="H71" s="16" t="s">
        <v>538</v>
      </c>
      <c r="I71" s="16" t="s">
        <v>558</v>
      </c>
      <c r="J71" s="16" t="s">
        <v>559</v>
      </c>
      <c r="K71" s="16" t="s">
        <v>559</v>
      </c>
      <c r="L71" s="15" t="s">
        <v>459</v>
      </c>
      <c r="M71" s="14" t="s">
        <v>684</v>
      </c>
      <c r="N71" s="16"/>
    </row>
    <row r="72" spans="1:14" ht="89.25" x14ac:dyDescent="0.25">
      <c r="A72" s="15" t="s">
        <v>560</v>
      </c>
      <c r="B72" s="15" t="s">
        <v>518</v>
      </c>
      <c r="C72" s="16" t="s">
        <v>561</v>
      </c>
      <c r="D72" s="16" t="s">
        <v>54</v>
      </c>
      <c r="E72" s="16" t="s">
        <v>562</v>
      </c>
      <c r="F72" s="16" t="s">
        <v>563</v>
      </c>
      <c r="G72" s="15" t="s">
        <v>40</v>
      </c>
      <c r="H72" s="16" t="s">
        <v>538</v>
      </c>
      <c r="I72" s="16" t="s">
        <v>564</v>
      </c>
      <c r="J72" s="16" t="s">
        <v>565</v>
      </c>
      <c r="K72" s="16" t="s">
        <v>565</v>
      </c>
      <c r="L72" s="15" t="s">
        <v>459</v>
      </c>
      <c r="M72" s="16"/>
      <c r="N72" s="16"/>
    </row>
    <row r="73" spans="1:14" ht="38.25" x14ac:dyDescent="0.25">
      <c r="A73" s="15" t="s">
        <v>566</v>
      </c>
      <c r="B73" s="15" t="s">
        <v>518</v>
      </c>
      <c r="C73" s="16" t="s">
        <v>567</v>
      </c>
      <c r="D73" s="16" t="s">
        <v>20</v>
      </c>
      <c r="E73" s="16" t="s">
        <v>568</v>
      </c>
      <c r="F73" s="16" t="s">
        <v>569</v>
      </c>
      <c r="G73" s="15" t="s">
        <v>40</v>
      </c>
      <c r="H73" s="16" t="s">
        <v>570</v>
      </c>
      <c r="I73" s="16" t="s">
        <v>571</v>
      </c>
      <c r="J73" s="16" t="s">
        <v>572</v>
      </c>
      <c r="K73" s="16" t="s">
        <v>572</v>
      </c>
      <c r="L73" s="15" t="s">
        <v>459</v>
      </c>
      <c r="M73" s="14" t="s">
        <v>685</v>
      </c>
      <c r="N73" s="16"/>
    </row>
    <row r="74" spans="1:14" ht="89.25" x14ac:dyDescent="0.25">
      <c r="A74" s="15" t="s">
        <v>573</v>
      </c>
      <c r="B74" s="15" t="s">
        <v>518</v>
      </c>
      <c r="C74" s="16" t="s">
        <v>574</v>
      </c>
      <c r="D74" s="16" t="s">
        <v>20</v>
      </c>
      <c r="E74" s="16" t="s">
        <v>575</v>
      </c>
      <c r="F74" s="16" t="s">
        <v>576</v>
      </c>
      <c r="G74" s="15" t="s">
        <v>40</v>
      </c>
      <c r="H74" s="16" t="s">
        <v>577</v>
      </c>
      <c r="I74" s="16" t="s">
        <v>578</v>
      </c>
      <c r="J74" s="16" t="s">
        <v>579</v>
      </c>
      <c r="K74" s="16" t="s">
        <v>579</v>
      </c>
      <c r="L74" s="15" t="s">
        <v>459</v>
      </c>
      <c r="M74" s="14" t="s">
        <v>686</v>
      </c>
      <c r="N74" s="16"/>
    </row>
    <row r="75" spans="1:14" ht="51" x14ac:dyDescent="0.25">
      <c r="A75" s="15" t="s">
        <v>580</v>
      </c>
      <c r="B75" s="15" t="s">
        <v>518</v>
      </c>
      <c r="C75" s="16" t="s">
        <v>581</v>
      </c>
      <c r="D75" s="16" t="s">
        <v>54</v>
      </c>
      <c r="E75" s="16" t="s">
        <v>582</v>
      </c>
      <c r="F75" s="16" t="s">
        <v>583</v>
      </c>
      <c r="G75" s="15" t="s">
        <v>63</v>
      </c>
      <c r="H75" s="16" t="s">
        <v>584</v>
      </c>
      <c r="I75" s="16" t="s">
        <v>585</v>
      </c>
      <c r="J75" s="16" t="s">
        <v>586</v>
      </c>
      <c r="K75" s="16" t="s">
        <v>586</v>
      </c>
      <c r="L75" s="15" t="s">
        <v>459</v>
      </c>
      <c r="M75" s="14" t="s">
        <v>687</v>
      </c>
      <c r="N75" s="16"/>
    </row>
    <row r="76" spans="1:14" ht="76.5" x14ac:dyDescent="0.25">
      <c r="A76" s="15" t="s">
        <v>587</v>
      </c>
      <c r="B76" s="15" t="s">
        <v>518</v>
      </c>
      <c r="C76" s="16" t="s">
        <v>588</v>
      </c>
      <c r="D76" s="16" t="s">
        <v>54</v>
      </c>
      <c r="E76" s="16" t="s">
        <v>589</v>
      </c>
      <c r="F76" s="16" t="s">
        <v>590</v>
      </c>
      <c r="G76" s="15" t="s">
        <v>63</v>
      </c>
      <c r="H76" s="16" t="s">
        <v>591</v>
      </c>
      <c r="I76" s="16" t="s">
        <v>592</v>
      </c>
      <c r="J76" s="16" t="s">
        <v>593</v>
      </c>
      <c r="K76" s="16" t="s">
        <v>593</v>
      </c>
      <c r="L76" s="15" t="s">
        <v>459</v>
      </c>
      <c r="M76" s="16"/>
      <c r="N76" s="16"/>
    </row>
    <row r="77" spans="1:14" ht="51" x14ac:dyDescent="0.25">
      <c r="A77" s="15" t="s">
        <v>594</v>
      </c>
      <c r="B77" s="15" t="s">
        <v>518</v>
      </c>
      <c r="C77" s="16" t="s">
        <v>595</v>
      </c>
      <c r="D77" s="16" t="s">
        <v>54</v>
      </c>
      <c r="E77" s="16" t="s">
        <v>596</v>
      </c>
      <c r="F77" s="16" t="s">
        <v>597</v>
      </c>
      <c r="G77" s="15" t="s">
        <v>40</v>
      </c>
      <c r="H77" s="16" t="s">
        <v>598</v>
      </c>
      <c r="I77" s="16" t="s">
        <v>599</v>
      </c>
      <c r="J77" s="16" t="s">
        <v>600</v>
      </c>
      <c r="K77" s="16" t="s">
        <v>600</v>
      </c>
      <c r="L77" s="15" t="s">
        <v>459</v>
      </c>
      <c r="M77" s="23" t="s">
        <v>688</v>
      </c>
      <c r="N77" s="16"/>
    </row>
    <row r="78" spans="1:14" ht="51" x14ac:dyDescent="0.25">
      <c r="A78" s="15" t="s">
        <v>601</v>
      </c>
      <c r="B78" s="15" t="s">
        <v>518</v>
      </c>
      <c r="C78" s="16" t="s">
        <v>602</v>
      </c>
      <c r="D78" s="16" t="s">
        <v>54</v>
      </c>
      <c r="E78" s="16" t="s">
        <v>603</v>
      </c>
      <c r="F78" s="16" t="s">
        <v>604</v>
      </c>
      <c r="G78" s="15" t="s">
        <v>40</v>
      </c>
      <c r="H78" s="16" t="s">
        <v>605</v>
      </c>
      <c r="I78" s="16" t="s">
        <v>606</v>
      </c>
      <c r="J78" s="16" t="s">
        <v>607</v>
      </c>
      <c r="K78" s="16"/>
      <c r="L78" s="15"/>
      <c r="M78" s="16"/>
      <c r="N78" s="16"/>
    </row>
    <row r="79" spans="1:14" ht="89.25" x14ac:dyDescent="0.25">
      <c r="A79" s="19" t="s">
        <v>608</v>
      </c>
      <c r="B79" s="17" t="s">
        <v>518</v>
      </c>
      <c r="C79" s="18" t="s">
        <v>675</v>
      </c>
      <c r="D79" s="18" t="s">
        <v>20</v>
      </c>
      <c r="E79" s="18" t="s">
        <v>676</v>
      </c>
      <c r="F79" s="18" t="s">
        <v>677</v>
      </c>
      <c r="G79" s="17" t="s">
        <v>40</v>
      </c>
      <c r="H79" s="18" t="s">
        <v>678</v>
      </c>
      <c r="I79" s="18" t="s">
        <v>679</v>
      </c>
      <c r="J79" s="18" t="s">
        <v>680</v>
      </c>
      <c r="K79" s="18"/>
      <c r="L79" s="20"/>
      <c r="M79" s="18"/>
      <c r="N79" s="18"/>
    </row>
    <row r="80" spans="1:14" ht="76.5" x14ac:dyDescent="0.25">
      <c r="A80" s="15" t="s">
        <v>610</v>
      </c>
      <c r="B80" s="15" t="s">
        <v>519</v>
      </c>
      <c r="C80" s="16" t="s">
        <v>611</v>
      </c>
      <c r="D80" s="16" t="s">
        <v>37</v>
      </c>
      <c r="E80" s="16" t="s">
        <v>38</v>
      </c>
      <c r="F80" s="16" t="s">
        <v>612</v>
      </c>
      <c r="G80" s="15" t="s">
        <v>40</v>
      </c>
      <c r="H80" s="16" t="s">
        <v>613</v>
      </c>
      <c r="I80" s="16" t="s">
        <v>614</v>
      </c>
      <c r="J80" s="16" t="s">
        <v>615</v>
      </c>
      <c r="K80" s="16"/>
      <c r="L80" s="15"/>
      <c r="M80" s="16"/>
      <c r="N80" s="16"/>
    </row>
    <row r="81" spans="1:14" ht="51" x14ac:dyDescent="0.25">
      <c r="A81" s="15" t="s">
        <v>616</v>
      </c>
      <c r="B81" s="15" t="s">
        <v>519</v>
      </c>
      <c r="C81" s="16" t="s">
        <v>617</v>
      </c>
      <c r="D81" s="16" t="s">
        <v>20</v>
      </c>
      <c r="E81" s="16" t="s">
        <v>618</v>
      </c>
      <c r="F81" s="16" t="s">
        <v>619</v>
      </c>
      <c r="G81" s="15" t="s">
        <v>40</v>
      </c>
      <c r="H81" s="16" t="s">
        <v>538</v>
      </c>
      <c r="I81" s="16" t="s">
        <v>620</v>
      </c>
      <c r="J81" s="16" t="s">
        <v>621</v>
      </c>
      <c r="K81" s="16"/>
      <c r="L81" s="15"/>
      <c r="M81" s="16"/>
      <c r="N81" s="16"/>
    </row>
    <row r="82" spans="1:14" ht="38.25" x14ac:dyDescent="0.25">
      <c r="A82" s="15" t="s">
        <v>622</v>
      </c>
      <c r="B82" s="15" t="s">
        <v>519</v>
      </c>
      <c r="C82" s="16" t="s">
        <v>623</v>
      </c>
      <c r="D82" s="16" t="s">
        <v>74</v>
      </c>
      <c r="E82" s="16" t="s">
        <v>624</v>
      </c>
      <c r="F82" s="16" t="s">
        <v>625</v>
      </c>
      <c r="G82" s="15" t="s">
        <v>63</v>
      </c>
      <c r="H82" s="16" t="s">
        <v>626</v>
      </c>
      <c r="I82" s="16" t="s">
        <v>627</v>
      </c>
      <c r="J82" s="16" t="s">
        <v>628</v>
      </c>
      <c r="K82" s="16"/>
      <c r="L82" s="15"/>
      <c r="M82" s="16"/>
      <c r="N82" s="16"/>
    </row>
    <row r="83" spans="1:14" ht="38.25" x14ac:dyDescent="0.25">
      <c r="A83" s="15" t="s">
        <v>629</v>
      </c>
      <c r="B83" s="15" t="s">
        <v>519</v>
      </c>
      <c r="C83" s="16" t="s">
        <v>630</v>
      </c>
      <c r="D83" s="16" t="s">
        <v>20</v>
      </c>
      <c r="E83" s="16" t="s">
        <v>631</v>
      </c>
      <c r="F83" s="16" t="s">
        <v>632</v>
      </c>
      <c r="G83" s="15" t="s">
        <v>40</v>
      </c>
      <c r="H83" s="16" t="s">
        <v>626</v>
      </c>
      <c r="I83" s="16" t="s">
        <v>633</v>
      </c>
      <c r="J83" s="16" t="s">
        <v>634</v>
      </c>
      <c r="K83" s="16"/>
      <c r="L83" s="15"/>
      <c r="M83" s="16"/>
      <c r="N83" s="16"/>
    </row>
    <row r="84" spans="1:14" ht="63.75" x14ac:dyDescent="0.25">
      <c r="A84" s="15" t="s">
        <v>635</v>
      </c>
      <c r="B84" s="15" t="s">
        <v>519</v>
      </c>
      <c r="C84" s="16" t="s">
        <v>636</v>
      </c>
      <c r="D84" s="16" t="s">
        <v>20</v>
      </c>
      <c r="E84" s="16" t="s">
        <v>609</v>
      </c>
      <c r="F84" s="16" t="s">
        <v>637</v>
      </c>
      <c r="G84" s="15" t="s">
        <v>40</v>
      </c>
      <c r="H84" s="16" t="s">
        <v>638</v>
      </c>
      <c r="I84" s="16" t="s">
        <v>639</v>
      </c>
      <c r="J84" s="16" t="s">
        <v>640</v>
      </c>
      <c r="K84" s="16"/>
      <c r="L84" s="15"/>
      <c r="M84" s="16"/>
      <c r="N84" s="16"/>
    </row>
    <row r="85" spans="1:14" ht="102" x14ac:dyDescent="0.25">
      <c r="A85" s="15" t="s">
        <v>641</v>
      </c>
      <c r="B85" s="15" t="s">
        <v>519</v>
      </c>
      <c r="C85" s="16" t="s">
        <v>642</v>
      </c>
      <c r="D85" s="16" t="s">
        <v>54</v>
      </c>
      <c r="E85" s="16" t="s">
        <v>643</v>
      </c>
      <c r="F85" s="16" t="s">
        <v>644</v>
      </c>
      <c r="G85" s="15" t="s">
        <v>40</v>
      </c>
      <c r="H85" s="16" t="s">
        <v>538</v>
      </c>
      <c r="I85" s="16" t="s">
        <v>645</v>
      </c>
      <c r="J85" s="16" t="s">
        <v>646</v>
      </c>
      <c r="K85" s="16"/>
      <c r="L85" s="15"/>
      <c r="M85" s="16"/>
      <c r="N85" s="16"/>
    </row>
    <row r="86" spans="1:14" ht="102" x14ac:dyDescent="0.25">
      <c r="A86" s="15" t="s">
        <v>647</v>
      </c>
      <c r="B86" s="15" t="s">
        <v>519</v>
      </c>
      <c r="C86" s="16" t="s">
        <v>648</v>
      </c>
      <c r="D86" s="16" t="s">
        <v>74</v>
      </c>
      <c r="E86" s="16" t="s">
        <v>649</v>
      </c>
      <c r="F86" s="16" t="s">
        <v>650</v>
      </c>
      <c r="G86" s="15" t="s">
        <v>40</v>
      </c>
      <c r="H86" s="16" t="s">
        <v>538</v>
      </c>
      <c r="I86" s="16" t="s">
        <v>651</v>
      </c>
      <c r="J86" s="16" t="s">
        <v>652</v>
      </c>
      <c r="K86" s="16"/>
      <c r="L86" s="15"/>
      <c r="M86" s="16"/>
      <c r="N86" s="16"/>
    </row>
    <row r="87" spans="1:14" ht="63.75" x14ac:dyDescent="0.25">
      <c r="A87" s="15" t="s">
        <v>653</v>
      </c>
      <c r="B87" s="15" t="s">
        <v>519</v>
      </c>
      <c r="C87" s="16" t="s">
        <v>654</v>
      </c>
      <c r="D87" s="16" t="s">
        <v>54</v>
      </c>
      <c r="E87" s="16" t="s">
        <v>655</v>
      </c>
      <c r="F87" s="16" t="s">
        <v>656</v>
      </c>
      <c r="G87" s="15" t="s">
        <v>40</v>
      </c>
      <c r="H87" s="16" t="s">
        <v>657</v>
      </c>
      <c r="I87" s="16" t="s">
        <v>658</v>
      </c>
      <c r="J87" s="16" t="s">
        <v>659</v>
      </c>
      <c r="K87" s="16"/>
      <c r="L87" s="15"/>
      <c r="M87" s="16"/>
      <c r="N87" s="16"/>
    </row>
    <row r="88" spans="1:14" ht="89.25" x14ac:dyDescent="0.25">
      <c r="A88" s="15" t="s">
        <v>660</v>
      </c>
      <c r="B88" s="15" t="s">
        <v>519</v>
      </c>
      <c r="C88" s="16" t="s">
        <v>661</v>
      </c>
      <c r="D88" s="16" t="s">
        <v>20</v>
      </c>
      <c r="E88" s="16" t="s">
        <v>568</v>
      </c>
      <c r="F88" s="16" t="s">
        <v>662</v>
      </c>
      <c r="G88" s="15" t="s">
        <v>63</v>
      </c>
      <c r="H88" s="16" t="s">
        <v>663</v>
      </c>
      <c r="I88" s="16" t="s">
        <v>664</v>
      </c>
      <c r="J88" s="16" t="s">
        <v>665</v>
      </c>
      <c r="K88" s="16"/>
      <c r="L88" s="15"/>
      <c r="M88" s="16"/>
      <c r="N88" s="16"/>
    </row>
    <row r="89" spans="1:14" ht="38.25" x14ac:dyDescent="0.25">
      <c r="A89" s="15" t="s">
        <v>666</v>
      </c>
      <c r="B89" s="15" t="s">
        <v>519</v>
      </c>
      <c r="C89" s="16" t="s">
        <v>667</v>
      </c>
      <c r="D89" s="16" t="s">
        <v>54</v>
      </c>
      <c r="E89" s="16" t="s">
        <v>668</v>
      </c>
      <c r="F89" s="16" t="s">
        <v>669</v>
      </c>
      <c r="G89" s="15" t="s">
        <v>63</v>
      </c>
      <c r="H89" s="16" t="s">
        <v>670</v>
      </c>
      <c r="I89" s="16" t="s">
        <v>671</v>
      </c>
      <c r="J89" s="16" t="s">
        <v>672</v>
      </c>
      <c r="K89" s="16"/>
      <c r="L89" s="15"/>
      <c r="M89" s="16"/>
      <c r="N89" s="16"/>
    </row>
  </sheetData>
  <autoFilter ref="A1:N65" xr:uid="{00000000-0009-0000-0000-000003000000}">
    <sortState xmlns:xlrd2="http://schemas.microsoft.com/office/spreadsheetml/2017/richdata2" ref="A2:N65">
      <sortCondition ref="A1:A65"/>
    </sortState>
  </autoFilter>
  <phoneticPr fontId="8" type="noConversion"/>
  <conditionalFormatting sqref="L2:L395">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 ref="M67" r:id="rId30" xr:uid="{EA70FFB8-7920-41C8-A0FA-18B4BE4C3BAD}"/>
    <hyperlink ref="M68" r:id="rId31" xr:uid="{4E4579C3-CEB9-40D9-A997-8179236FB2AF}"/>
    <hyperlink ref="M69" r:id="rId32" xr:uid="{84857B41-0C15-485C-A885-F39B7D4FBC60}"/>
    <hyperlink ref="M70" r:id="rId33" xr:uid="{7E380299-08A2-47C2-B4E7-DEBC1C8EA036}"/>
    <hyperlink ref="M71" r:id="rId34" xr:uid="{4A9FFBFF-EF0A-42D6-99E7-396BFFC02102}"/>
    <hyperlink ref="M73" r:id="rId35" xr:uid="{8122B6D1-AB2E-453D-ABBD-90F259A7ACE0}"/>
    <hyperlink ref="M74" r:id="rId36" xr:uid="{7A37FDCC-E43E-42FA-8644-5B26D127DEC4}"/>
    <hyperlink ref="M75" r:id="rId37" xr:uid="{457EC74B-61C4-4210-8AF2-CCA84EBCDB64}"/>
    <hyperlink ref="M77" r:id="rId38" xr:uid="{0B302733-E9E0-470F-8B09-8E1EBA4EB82D}"/>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C2" activePane="bottomRight" state="frozen"/>
      <selection pane="topRight" activeCell="C1" sqref="C1"/>
      <selection pane="bottomLeft" activeCell="A3" sqref="A3"/>
      <selection pane="bottomRight" activeCell="B4" sqref="B4"/>
    </sheetView>
  </sheetViews>
  <sheetFormatPr defaultColWidth="8.7109375" defaultRowHeight="15" x14ac:dyDescent="0.25"/>
  <cols>
    <col min="1" max="1" width="16" customWidth="1"/>
    <col min="2" max="2" width="12" customWidth="1"/>
    <col min="3" max="3" width="40" customWidth="1"/>
    <col min="4" max="4" width="46" customWidth="1"/>
    <col min="5" max="6" width="34" customWidth="1"/>
    <col min="7" max="7" width="14" customWidth="1"/>
    <col min="8" max="8" width="12" customWidth="1"/>
    <col min="9" max="10" width="14" customWidth="1"/>
  </cols>
  <sheetData>
    <row r="1" spans="1:10" ht="31.5" customHeight="1" x14ac:dyDescent="0.25">
      <c r="A1" s="4" t="s">
        <v>423</v>
      </c>
      <c r="B1" s="4" t="s">
        <v>424</v>
      </c>
      <c r="C1" s="4" t="s">
        <v>425</v>
      </c>
      <c r="D1" s="4" t="s">
        <v>426</v>
      </c>
      <c r="E1" s="4" t="s">
        <v>427</v>
      </c>
      <c r="F1" s="4" t="s">
        <v>428</v>
      </c>
      <c r="G1" s="4" t="s">
        <v>429</v>
      </c>
      <c r="H1" s="8" t="s">
        <v>430</v>
      </c>
      <c r="I1" s="8" t="s">
        <v>431</v>
      </c>
      <c r="J1" s="8" t="s">
        <v>432</v>
      </c>
    </row>
    <row r="2" spans="1:10" x14ac:dyDescent="0.25">
      <c r="A2" s="1"/>
      <c r="B2" s="1"/>
      <c r="C2" s="1"/>
      <c r="D2" s="1"/>
      <c r="E2" s="1"/>
      <c r="F2" s="1"/>
      <c r="G2" s="1"/>
      <c r="H2" s="1"/>
      <c r="I2" s="1"/>
      <c r="J2" s="1"/>
    </row>
    <row r="3" spans="1:10" x14ac:dyDescent="0.25">
      <c r="A3" s="1"/>
      <c r="B3" s="1"/>
      <c r="C3" s="1"/>
      <c r="D3" s="1"/>
      <c r="E3" s="1"/>
      <c r="F3" s="1"/>
      <c r="G3" s="1"/>
      <c r="H3" s="1"/>
      <c r="I3" s="1"/>
      <c r="J3" s="1"/>
    </row>
    <row r="4" spans="1:10" x14ac:dyDescent="0.25">
      <c r="A4" s="1"/>
      <c r="B4" s="1"/>
      <c r="C4" s="1"/>
      <c r="D4" s="1"/>
      <c r="E4" s="1"/>
      <c r="F4" s="1"/>
      <c r="G4" s="1"/>
      <c r="H4" s="1"/>
      <c r="I4" s="1"/>
      <c r="J4" s="1"/>
    </row>
    <row r="5" spans="1:10" x14ac:dyDescent="0.25">
      <c r="A5" s="1"/>
      <c r="B5" s="1"/>
      <c r="C5" s="1"/>
      <c r="D5" s="1"/>
      <c r="E5" s="1"/>
      <c r="F5" s="1"/>
      <c r="G5" s="1"/>
      <c r="H5" s="1"/>
      <c r="I5" s="1"/>
      <c r="J5" s="1"/>
    </row>
  </sheetData>
  <dataValidations count="2">
    <dataValidation type="list" allowBlank="1" sqref="G2: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x14ac:dyDescent="0.25"/>
  <cols>
    <col min="1" max="1" width="18" customWidth="1"/>
    <col min="2" max="2" width="44" customWidth="1"/>
    <col min="3" max="3" width="14" customWidth="1"/>
    <col min="4" max="8" width="12" customWidth="1"/>
    <col min="9" max="9" width="16" customWidth="1"/>
    <col min="10" max="10" width="12" customWidth="1"/>
  </cols>
  <sheetData>
    <row r="1" spans="1:10" ht="18" x14ac:dyDescent="0.25">
      <c r="A1" s="2" t="s">
        <v>434</v>
      </c>
    </row>
    <row r="3" spans="1:10" ht="31.5" customHeight="1" x14ac:dyDescent="0.25">
      <c r="A3" s="4" t="s">
        <v>0</v>
      </c>
      <c r="B3" s="4" t="s">
        <v>1</v>
      </c>
      <c r="C3" s="4" t="s">
        <v>435</v>
      </c>
      <c r="D3" s="4" t="s">
        <v>436</v>
      </c>
      <c r="E3" s="4" t="s">
        <v>437</v>
      </c>
      <c r="F3" s="4" t="s">
        <v>438</v>
      </c>
      <c r="G3" s="4" t="s">
        <v>439</v>
      </c>
      <c r="H3" s="4" t="s">
        <v>44</v>
      </c>
      <c r="I3" s="4" t="s">
        <v>440</v>
      </c>
      <c r="J3" s="4" t="s">
        <v>441</v>
      </c>
    </row>
    <row r="4" spans="1:10" x14ac:dyDescent="0.25">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x14ac:dyDescent="0.25">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x14ac:dyDescent="0.25">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x14ac:dyDescent="0.2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x14ac:dyDescent="0.25">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x14ac:dyDescent="0.25">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x14ac:dyDescent="0.25">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x14ac:dyDescent="0.25">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x14ac:dyDescent="0.25">
      <c r="A12" s="10" t="s">
        <v>442</v>
      </c>
      <c r="B12" s="3" t="s">
        <v>443</v>
      </c>
      <c r="C12" s="11"/>
      <c r="D12" s="10">
        <f>SUM(D4:D11)</f>
        <v>64</v>
      </c>
      <c r="E12" s="10">
        <f>SUM(E4:E11)</f>
        <v>38</v>
      </c>
      <c r="F12" s="10">
        <f>SUM(F4:F11)</f>
        <v>38</v>
      </c>
      <c r="G12" s="10">
        <f>SUM(G4:G11)</f>
        <v>0</v>
      </c>
      <c r="H12" s="10">
        <f>SUM(H4:H11)</f>
        <v>26</v>
      </c>
      <c r="I12" s="12">
        <f t="shared" si="2"/>
        <v>1</v>
      </c>
      <c r="J12" s="10">
        <f>SUM(J4:J11)</f>
        <v>0</v>
      </c>
    </row>
    <row r="14" spans="1:10" x14ac:dyDescent="0.25">
      <c r="A14" s="13" t="s">
        <v>444</v>
      </c>
    </row>
    <row r="15" spans="1:10" ht="31.5" customHeight="1" x14ac:dyDescent="0.25">
      <c r="A15" s="4" t="s">
        <v>24</v>
      </c>
      <c r="B15" s="4"/>
      <c r="C15" s="4"/>
      <c r="D15" s="4" t="s">
        <v>436</v>
      </c>
      <c r="E15" s="4" t="s">
        <v>438</v>
      </c>
      <c r="F15" s="4" t="s">
        <v>439</v>
      </c>
    </row>
    <row r="16" spans="1:10" x14ac:dyDescent="0.25">
      <c r="A16" s="7" t="s">
        <v>37</v>
      </c>
      <c r="B16" s="1"/>
      <c r="C16" s="1"/>
      <c r="D16" s="6">
        <f>COUNTIF('Test Case'!$D:$D,$A16)</f>
        <v>19</v>
      </c>
      <c r="E16" s="6">
        <f>COUNTIFS('Test Case'!$D:$D,$A16,'Test Case'!$L:$L,"PASS")</f>
        <v>10</v>
      </c>
      <c r="F16" s="6">
        <f>COUNTIFS('Test Case'!$D:$D,$A16,'Test Case'!$L:$L,"FAIL")</f>
        <v>0</v>
      </c>
    </row>
    <row r="17" spans="1:10" x14ac:dyDescent="0.25">
      <c r="A17" s="7" t="s">
        <v>54</v>
      </c>
      <c r="B17" s="1"/>
      <c r="C17" s="1"/>
      <c r="D17" s="6">
        <f>COUNTIF('Test Case'!$D:$D,$A17)</f>
        <v>28</v>
      </c>
      <c r="E17" s="6">
        <f>COUNTIFS('Test Case'!$D:$D,$A17,'Test Case'!$L:$L,"PASS")</f>
        <v>14</v>
      </c>
      <c r="F17" s="6">
        <f>COUNTIFS('Test Case'!$D:$D,$A17,'Test Case'!$L:$L,"FAIL")</f>
        <v>0</v>
      </c>
    </row>
    <row r="18" spans="1:10" x14ac:dyDescent="0.25">
      <c r="A18" s="7" t="s">
        <v>74</v>
      </c>
      <c r="B18" s="1"/>
      <c r="C18" s="1"/>
      <c r="D18" s="6">
        <f>COUNTIF('Test Case'!$D:$D,$A18)</f>
        <v>16</v>
      </c>
      <c r="E18" s="6">
        <f>COUNTIFS('Test Case'!$D:$D,$A18,'Test Case'!$L:$L,"PASS")</f>
        <v>12</v>
      </c>
      <c r="F18" s="6">
        <f>COUNTIFS('Test Case'!$D:$D,$A18,'Test Case'!$L:$L,"FAIL")</f>
        <v>0</v>
      </c>
    </row>
    <row r="19" spans="1:10" x14ac:dyDescent="0.25">
      <c r="A19" s="7" t="s">
        <v>20</v>
      </c>
      <c r="B19" s="1"/>
      <c r="C19" s="1"/>
      <c r="D19" s="6">
        <f>COUNTIF('Test Case'!$D:$D,$A19)</f>
        <v>24</v>
      </c>
      <c r="E19" s="6">
        <f>COUNTIFS('Test Case'!$D:$D,$A19,'Test Case'!$L:$L,"PASS")</f>
        <v>14</v>
      </c>
      <c r="F19" s="6">
        <f>COUNTIFS('Test Case'!$D:$D,$A19,'Test Case'!$L:$L,"FAIL")</f>
        <v>0</v>
      </c>
    </row>
    <row r="20" spans="1:10" x14ac:dyDescent="0.25">
      <c r="A20" s="7" t="s">
        <v>298</v>
      </c>
      <c r="B20" s="1"/>
      <c r="C20" s="1"/>
      <c r="D20" s="6">
        <f>COUNTIF('Test Case'!$D:$D,$A20)</f>
        <v>1</v>
      </c>
      <c r="E20" s="6">
        <f>COUNTIFS('Test Case'!$D:$D,$A20,'Test Case'!$L:$L,"PASS")</f>
        <v>0</v>
      </c>
      <c r="F20" s="6">
        <f>COUNTIFS('Test Case'!$D:$D,$A20,'Test Case'!$L:$L,"FAIL")</f>
        <v>0</v>
      </c>
    </row>
    <row r="23" spans="1:10" x14ac:dyDescent="0.25">
      <c r="A23" s="13" t="s">
        <v>445</v>
      </c>
    </row>
    <row r="24" spans="1:10" ht="31.5" customHeight="1" x14ac:dyDescent="0.25">
      <c r="A24" s="4" t="s">
        <v>446</v>
      </c>
      <c r="B24" s="4"/>
      <c r="C24" s="4"/>
      <c r="D24" s="4" t="s">
        <v>441</v>
      </c>
      <c r="E24" s="4" t="s">
        <v>447</v>
      </c>
      <c r="F24" s="4" t="s">
        <v>448</v>
      </c>
    </row>
    <row r="25" spans="1:10" x14ac:dyDescent="0.25">
      <c r="A25" s="7" t="s">
        <v>449</v>
      </c>
      <c r="B25" s="1"/>
      <c r="C25" s="1"/>
      <c r="D25" s="6">
        <f>COUNTIFS('Bug Report'!$A:$A,"BUG-N5-*",'Bug Report'!$G:$G,$A25)</f>
        <v>0</v>
      </c>
      <c r="E25" s="6">
        <f>COUNTIFS('Bug Report'!$A:$A,"BUG-N5-*",'Bug Report'!$G:$G,$A25,'Bug Report'!$I:$I,"Đã retest đạt")</f>
        <v>0</v>
      </c>
      <c r="F25" s="6">
        <f>D25-E25</f>
        <v>0</v>
      </c>
    </row>
    <row r="26" spans="1:10" x14ac:dyDescent="0.25">
      <c r="A26" s="7" t="s">
        <v>433</v>
      </c>
      <c r="B26" s="1"/>
      <c r="C26" s="1"/>
      <c r="D26" s="6">
        <f>COUNTIFS('Bug Report'!$A:$A,"BUG-N5-*",'Bug Report'!$G:$G,$A26)</f>
        <v>0</v>
      </c>
      <c r="E26" s="6">
        <f>COUNTIFS('Bug Report'!$A:$A,"BUG-N5-*",'Bug Report'!$G:$G,$A26,'Bug Report'!$I:$I,"Đã retest đạt")</f>
        <v>0</v>
      </c>
      <c r="F26" s="6">
        <f>D26-E26</f>
        <v>0</v>
      </c>
    </row>
    <row r="27" spans="1:10" x14ac:dyDescent="0.25">
      <c r="A27" s="7" t="s">
        <v>450</v>
      </c>
      <c r="B27" s="1"/>
      <c r="C27" s="1"/>
      <c r="D27" s="6">
        <f>COUNTIFS('Bug Report'!$A:$A,"BUG-N5-*",'Bug Report'!$G:$G,$A27)</f>
        <v>0</v>
      </c>
      <c r="E27" s="6">
        <f>COUNTIFS('Bug Report'!$A:$A,"BUG-N5-*",'Bug Report'!$G:$G,$A27,'Bug Report'!$I:$I,"Đã retest đạt")</f>
        <v>0</v>
      </c>
      <c r="F27" s="6">
        <f>D27-E27</f>
        <v>0</v>
      </c>
    </row>
    <row r="28" spans="1:10" x14ac:dyDescent="0.25">
      <c r="A28" s="7" t="s">
        <v>451</v>
      </c>
      <c r="B28" s="1"/>
      <c r="C28" s="1"/>
      <c r="D28" s="6">
        <f>COUNTIFS('Bug Report'!$A:$A,"BUG-N5-*",'Bug Report'!$G:$G,$A28)</f>
        <v>0</v>
      </c>
      <c r="E28" s="6">
        <f>COUNTIFS('Bug Report'!$A:$A,"BUG-N5-*",'Bug Report'!$G:$G,$A28,'Bug Report'!$I:$I,"Đã retest đạt")</f>
        <v>0</v>
      </c>
      <c r="F28" s="6">
        <f>D28-E28</f>
        <v>0</v>
      </c>
    </row>
    <row r="30" spans="1:10" x14ac:dyDescent="0.25">
      <c r="A30" s="13" t="s">
        <v>452</v>
      </c>
    </row>
    <row r="31" spans="1:10" ht="19.5" customHeight="1" x14ac:dyDescent="0.25">
      <c r="A31" s="3" t="s">
        <v>453</v>
      </c>
      <c r="B31" s="21" t="str">
        <f>"Đã chạy "&amp;E12&amp;" / "&amp;D12&amp;" TC; PASS "&amp;F12&amp;"; FAIL "&amp;G12&amp;"; tỉ lệ pass "&amp;IF(E12=0,"-",TEXT(F12/E12,"0.0%"))</f>
        <v>Đã chạy 38 / 64 TC; PASS 38; FAIL 0; tỉ lệ pass 100.0%</v>
      </c>
      <c r="C31" s="21"/>
      <c r="D31" s="21"/>
      <c r="E31" s="21"/>
      <c r="F31" s="21"/>
      <c r="G31" s="21"/>
      <c r="H31" s="21"/>
      <c r="I31" s="21"/>
      <c r="J31" s="21"/>
    </row>
    <row r="32" spans="1:10" ht="48" customHeight="1" x14ac:dyDescent="0.25">
      <c r="A32" s="3" t="s">
        <v>454</v>
      </c>
      <c r="B32" s="22"/>
      <c r="C32" s="22"/>
      <c r="D32" s="22"/>
      <c r="E32" s="22"/>
      <c r="F32" s="22"/>
      <c r="G32" s="22"/>
      <c r="H32" s="22"/>
      <c r="I32" s="22"/>
      <c r="J32" s="22"/>
    </row>
    <row r="33" spans="1:10" ht="48" customHeight="1" x14ac:dyDescent="0.25">
      <c r="A33" s="3" t="s">
        <v>455</v>
      </c>
      <c r="B33" s="22"/>
      <c r="C33" s="22"/>
      <c r="D33" s="22"/>
      <c r="E33" s="22"/>
      <c r="F33" s="22"/>
      <c r="G33" s="22"/>
      <c r="H33" s="22"/>
      <c r="I33" s="22"/>
      <c r="J33" s="22"/>
    </row>
    <row r="34" spans="1:10" ht="48" customHeight="1" x14ac:dyDescent="0.25">
      <c r="A34" s="3" t="s">
        <v>456</v>
      </c>
      <c r="B34" s="22"/>
      <c r="C34" s="22"/>
      <c r="D34" s="22"/>
      <c r="E34" s="22"/>
      <c r="F34" s="22"/>
      <c r="G34" s="22"/>
      <c r="H34" s="22"/>
      <c r="I34" s="22"/>
      <c r="J34" s="22"/>
    </row>
    <row r="35" spans="1:10" ht="48" customHeight="1" x14ac:dyDescent="0.25">
      <c r="A35" s="3" t="s">
        <v>457</v>
      </c>
      <c r="B35" s="22"/>
      <c r="C35" s="22"/>
      <c r="D35" s="22"/>
      <c r="E35" s="22"/>
      <c r="F35" s="22"/>
      <c r="G35" s="22"/>
      <c r="H35" s="22"/>
      <c r="I35" s="22"/>
      <c r="J35" s="22"/>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2026-10-14T11:47:30Z</dcterms:modified>
  <dc:language>en-US</dc:language>
</cp:coreProperties>
</file>