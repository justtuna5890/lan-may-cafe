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E9F45F49-5E1B-48F3-8204-4B1922BA647D}" xr6:coauthVersionLast="47" xr6:coauthVersionMax="47" xr10:uidLastSave="{00000000-0000-0000-0000-000000000000}"/>
  <bookViews>
    <workbookView xWindow="-120" yWindow="-120" windowWidth="20730" windowHeight="11040" tabRatio="500" xr2:uid="{00000000-000D-0000-FFFF-FFFF00000000}"/>
  </bookViews>
  <sheets>
    <sheet name="Test Case" sheetId="4" r:id="rId1"/>
    <sheet name="Bug Report" sheetId="5" r:id="rId2"/>
    <sheet name="Tổng hợp" sheetId="6" r:id="rId3"/>
  </sheets>
  <definedNames>
    <definedName name="_xlnm._FilterDatabase" localSheetId="0" hidden="1">'Test Case'!$A$1:$N$65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8" i="6" l="1"/>
  <c r="D28" i="6"/>
  <c r="F28" i="6" s="1"/>
  <c r="E27" i="6"/>
  <c r="D27" i="6"/>
  <c r="F27" i="6" s="1"/>
  <c r="E26" i="6"/>
  <c r="D26" i="6"/>
  <c r="E25" i="6"/>
  <c r="D25" i="6"/>
  <c r="F20" i="6"/>
  <c r="E20" i="6"/>
  <c r="D20" i="6"/>
  <c r="F19" i="6"/>
  <c r="E19" i="6"/>
  <c r="D19" i="6"/>
  <c r="F18" i="6"/>
  <c r="E18" i="6"/>
  <c r="D18" i="6"/>
  <c r="F17" i="6"/>
  <c r="E17" i="6"/>
  <c r="D17" i="6"/>
  <c r="F16" i="6"/>
  <c r="E16" i="6"/>
  <c r="D16" i="6"/>
  <c r="J11" i="6"/>
  <c r="G11" i="6"/>
  <c r="F11" i="6"/>
  <c r="D11" i="6"/>
  <c r="J10" i="6"/>
  <c r="G10" i="6"/>
  <c r="F10" i="6"/>
  <c r="D10" i="6"/>
  <c r="J9" i="6"/>
  <c r="G9" i="6"/>
  <c r="F9" i="6"/>
  <c r="D9" i="6"/>
  <c r="J8" i="6"/>
  <c r="G8" i="6"/>
  <c r="F8" i="6"/>
  <c r="D8" i="6"/>
  <c r="J7" i="6"/>
  <c r="G7" i="6"/>
  <c r="F7" i="6"/>
  <c r="D7" i="6"/>
  <c r="J6" i="6"/>
  <c r="G6" i="6"/>
  <c r="F6" i="6"/>
  <c r="D6" i="6"/>
  <c r="J5" i="6"/>
  <c r="G5" i="6"/>
  <c r="F5" i="6"/>
  <c r="D5" i="6"/>
  <c r="J4" i="6"/>
  <c r="G4" i="6"/>
  <c r="F4" i="6"/>
  <c r="D4" i="6"/>
  <c r="E9" i="6" l="1"/>
  <c r="E8" i="6"/>
  <c r="E4" i="6"/>
  <c r="E11" i="6"/>
  <c r="F26" i="6"/>
  <c r="F25" i="6"/>
  <c r="E7" i="6"/>
  <c r="J12" i="6"/>
  <c r="E10" i="6"/>
  <c r="E5" i="6"/>
  <c r="E6" i="6"/>
  <c r="G12" i="6"/>
  <c r="F12" i="6"/>
  <c r="D12" i="6"/>
  <c r="H9" i="6" l="1"/>
  <c r="I9" i="6"/>
  <c r="H8" i="6"/>
  <c r="I8" i="6"/>
  <c r="H4" i="6"/>
  <c r="I4" i="6"/>
  <c r="I11" i="6"/>
  <c r="H11" i="6"/>
  <c r="H7" i="6"/>
  <c r="I7" i="6"/>
  <c r="H10" i="6"/>
  <c r="I10" i="6"/>
  <c r="H5" i="6"/>
  <c r="I5" i="6"/>
  <c r="E12" i="6"/>
  <c r="H6" i="6"/>
  <c r="I6" i="6"/>
  <c r="I12" i="6" l="1"/>
  <c r="B31" i="6"/>
  <c r="H12" i="6"/>
</calcChain>
</file>

<file path=xl/sharedStrings.xml><?xml version="1.0" encoding="utf-8"?>
<sst xmlns="http://schemas.openxmlformats.org/spreadsheetml/2006/main" count="1157" uniqueCount="693">
  <si>
    <t>UC</t>
  </si>
  <si>
    <t>Tên UC</t>
  </si>
  <si>
    <t>UC21</t>
  </si>
  <si>
    <t>Đăng nhập hệ thống</t>
  </si>
  <si>
    <t>Kiệt</t>
  </si>
  <si>
    <t>UC01</t>
  </si>
  <si>
    <t>Tạo và gửi order</t>
  </si>
  <si>
    <t>UC04</t>
  </si>
  <si>
    <t>Cập nhật order (gọi thêm, sửa, hủy món)</t>
  </si>
  <si>
    <t>UC10</t>
  </si>
  <si>
    <t>Thanh toán hóa đơn (UC10.1 tiền mặt, UC10.2 QR giả lập)</t>
  </si>
  <si>
    <t>UC15</t>
  </si>
  <si>
    <t>Hiển thị danh sách đơn hàng (KDS)</t>
  </si>
  <si>
    <t>Duy</t>
  </si>
  <si>
    <t>UC16</t>
  </si>
  <si>
    <t>Cập nhật trạng thái chế biến</t>
  </si>
  <si>
    <t>UC18</t>
  </si>
  <si>
    <t>Đánh dấu hết nguyên liệu</t>
  </si>
  <si>
    <t>UC08</t>
  </si>
  <si>
    <t>Lập hóa đơn</t>
  </si>
  <si>
    <t>Alternative flow</t>
  </si>
  <si>
    <t>TC-10-09</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</si>
  <si>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</si>
  <si>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</si>
  <si>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</si>
  <si>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</si>
  <si>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</si>
  <si>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</si>
  <si>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</si>
  <si>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</si>
  <si>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</si>
  <si>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</si>
  <si>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</si>
  <si>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</si>
  <si>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</si>
  <si>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</si>
  <si>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</si>
  <si>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</si>
  <si>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</si>
  <si>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</si>
  <si>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</si>
  <si>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</si>
  <si>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</si>
  <si>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</si>
  <si>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</si>
  <si>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</si>
  <si>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</si>
  <si>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</si>
  <si>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</si>
  <si>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</si>
  <si>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</si>
  <si>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</si>
  <si>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</si>
  <si>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</si>
  <si>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</si>
  <si>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</si>
  <si>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</si>
  <si>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</si>
  <si>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</si>
  <si>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</si>
  <si>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</si>
  <si>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</si>
  <si>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</si>
  <si>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</si>
  <si>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</si>
  <si>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</si>
  <si>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</si>
  <si>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</si>
  <si>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</si>
  <si>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</si>
  <si>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</si>
  <si>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</si>
  <si>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</si>
  <si>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</si>
  <si>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</si>
  <si>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</si>
  <si>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</si>
  <si>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</si>
  <si>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</si>
  <si>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</si>
  <si>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</si>
  <si>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</si>
  <si>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</si>
  <si>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</si>
  <si>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</si>
  <si>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</si>
  <si>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</si>
  <si>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</si>
  <si>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</si>
  <si>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</si>
  <si>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</si>
  <si>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</si>
  <si>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</si>
  <si>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</si>
  <si>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</si>
  <si>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</si>
  <si>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</si>
  <si>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</si>
  <si>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</si>
  <si>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</si>
  <si>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</si>
  <si>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</si>
  <si>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</si>
  <si>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</si>
  <si>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</si>
  <si>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</si>
  <si>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</si>
  <si>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</si>
  <si>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</si>
  <si>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</si>
  <si>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</si>
  <si>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</si>
  <si>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</si>
  <si>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</si>
  <si>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</si>
  <si>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</si>
  <si>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</si>
  <si>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</si>
  <si>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</si>
  <si>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</si>
  <si>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</si>
  <si>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</si>
  <si>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</si>
  <si>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</si>
  <si>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</si>
  <si>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</si>
  <si>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</si>
  <si>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</si>
  <si>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</si>
  <si>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</si>
  <si>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</si>
  <si>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</si>
  <si>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</si>
  <si>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</si>
  <si>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</si>
  <si>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</si>
  <si>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</si>
  <si>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</si>
  <si>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</si>
  <si>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</si>
  <si>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</si>
  <si>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</si>
  <si>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</si>
  <si>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</si>
  <si>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</si>
  <si>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</si>
  <si>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</si>
  <si>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</si>
  <si>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</si>
  <si>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</si>
  <si>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</si>
  <si>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</si>
  <si>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</si>
  <si>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</si>
  <si>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</si>
  <si>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</si>
  <si>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</si>
  <si>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</si>
  <si>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</si>
  <si>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</si>
  <si>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</si>
  <si>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</si>
  <si>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</si>
  <si>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</si>
  <si>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</si>
  <si>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</si>
  <si>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</si>
  <si>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</si>
  <si>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</si>
  <si>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</si>
  <si>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</si>
  <si>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</si>
  <si>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</si>
  <si>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</si>
  <si>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</si>
  <si>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</si>
  <si>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</si>
  <si>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</si>
  <si>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</si>
  <si>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</si>
  <si>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</si>
  <si>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</si>
  <si>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</si>
  <si>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</si>
  <si>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</si>
  <si>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</si>
  <si>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</si>
  <si>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</si>
  <si>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</si>
  <si>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</si>
  <si>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</si>
  <si>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</si>
  <si>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</si>
  <si>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</si>
  <si>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</si>
  <si>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</si>
  <si>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</si>
  <si>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</si>
  <si>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</si>
  <si>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</si>
  <si>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</si>
  <si>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</si>
  <si>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</si>
  <si>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</si>
  <si>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</si>
  <si>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</si>
  <si>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</si>
  <si>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</si>
  <si>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</si>
  <si>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</si>
  <si>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</si>
  <si>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</si>
  <si>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</si>
  <si>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</si>
  <si>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</si>
  <si>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</si>
  <si>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</si>
  <si>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</si>
  <si>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</si>
  <si>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</si>
  <si>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</si>
  <si>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</si>
  <si>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</si>
  <si>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</si>
  <si>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</si>
  <si>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</si>
  <si>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</si>
  <si>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</si>
  <si>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</si>
  <si>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</si>
  <si>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</si>
  <si>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</si>
  <si>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</si>
  <si>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</si>
  <si>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</si>
  <si>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</si>
  <si>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</si>
  <si>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</si>
  <si>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</si>
  <si>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</si>
  <si>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</si>
  <si>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</si>
  <si>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</si>
  <si>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</si>
  <si>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</si>
  <si>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</si>
  <si>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</si>
  <si>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</si>
  <si>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</si>
  <si>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</si>
  <si>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</si>
  <si>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</si>
  <si>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</si>
  <si>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</si>
  <si>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</si>
  <si>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</si>
  <si>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</si>
  <si>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</si>
  <si>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</si>
  <si>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</si>
  <si>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</si>
  <si>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</si>
  <si>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</si>
  <si>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</si>
  <si>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</si>
  <si>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</si>
  <si>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</si>
  <si>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</si>
  <si>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</si>
  <si>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</si>
  <si>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</si>
  <si>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</si>
  <si>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</si>
  <si>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</si>
  <si>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</si>
  <si>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</si>
  <si>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</si>
  <si>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</si>
  <si>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</si>
  <si>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</si>
  <si>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</si>
  <si>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</si>
  <si>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</si>
  <si>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</si>
  <si>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</si>
  <si>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</si>
  <si>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</si>
  <si>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</si>
  <si>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</si>
  <si>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</si>
  <si>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</si>
  <si>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</si>
  <si>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</si>
  <si>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</si>
  <si>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</si>
  <si>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</si>
  <si>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</si>
  <si>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</si>
  <si>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</si>
  <si>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</si>
  <si>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</si>
  <si>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</si>
  <si>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</si>
  <si>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</si>
  <si>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</si>
  <si>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</si>
  <si>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</si>
  <si>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</si>
  <si>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</si>
  <si>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</si>
  <si>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</si>
  <si>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</si>
  <si>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</si>
  <si>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</si>
  <si>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</si>
  <si>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</si>
  <si>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</si>
  <si>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</si>
  <si>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</si>
  <si>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</si>
  <si>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</si>
  <si>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</si>
  <si>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</si>
  <si>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</si>
  <si>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</si>
  <si>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</si>
  <si>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</si>
  <si>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</si>
  <si>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</si>
  <si>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</si>
  <si>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</si>
  <si>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</si>
  <si>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</si>
  <si>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</si>
  <si>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</si>
  <si>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</si>
  <si>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</si>
  <si>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</si>
  <si>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</si>
  <si>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</si>
  <si>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</si>
  <si>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</si>
  <si>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</si>
  <si>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</si>
  <si>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</si>
  <si>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</si>
  <si>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</si>
  <si>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</si>
  <si>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</si>
  <si>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</si>
  <si>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</si>
  <si>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</si>
  <si>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</si>
  <si>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</si>
  <si>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</si>
  <si>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</si>
  <si>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</si>
  <si>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</si>
  <si>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</si>
  <si>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</si>
  <si>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</si>
  <si>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</si>
  <si>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</si>
  <si>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</si>
  <si>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</si>
  <si>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</si>
  <si>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</si>
  <si>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</si>
  <si>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</si>
  <si>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</si>
  <si>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</si>
  <si>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</si>
  <si>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</si>
  <si>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</si>
  <si>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</si>
  <si>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</si>
  <si>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</si>
  <si>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</si>
  <si>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</si>
  <si>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</si>
  <si>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</si>
  <si>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</si>
  <si>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</si>
  <si>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</si>
  <si>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</si>
  <si>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</si>
  <si>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</si>
  <si>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</si>
  <si>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</si>
  <si>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</si>
  <si>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</si>
  <si>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</si>
  <si>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</si>
  <si>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</si>
  <si>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</si>
  <si>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</si>
  <si>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</si>
  <si>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</si>
  <si>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</si>
  <si>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</si>
  <si>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</si>
  <si>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</si>
  <si>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</si>
  <si>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</si>
  <si>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</si>
  <si>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</si>
  <si>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</si>
  <si>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</si>
  <si>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</si>
  <si>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</si>
  <si>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</si>
  <si>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</si>
  <si>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</si>
  <si>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</si>
  <si>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</si>
  <si>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</si>
  <si>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</si>
  <si>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</si>
  <si>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</si>
  <si>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</si>
  <si>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</si>
  <si>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</si>
  <si>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</si>
  <si>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Bug ID</t>
  </si>
  <si>
    <t>Related TC</t>
  </si>
  <si>
    <t>Mô tả lỗi</t>
  </si>
  <si>
    <t>Bước tái hiện</t>
  </si>
  <si>
    <t>Kết quả thực tế</t>
  </si>
  <si>
    <t>Kết quả mong đợi</t>
  </si>
  <si>
    <t>Mức độ nghiêm trọng</t>
  </si>
  <si>
    <t>Người sửa</t>
  </si>
  <si>
    <t>Trạng thái</t>
  </si>
  <si>
    <t>Kết quả retest</t>
  </si>
  <si>
    <t>High</t>
  </si>
  <si>
    <t>TỔNG HỢP KẾT QUẢ KIỂM THỬ</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</si>
  <si>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</si>
  <si>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</si>
  <si>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</si>
  <si>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</si>
  <si>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</si>
  <si>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</si>
  <si>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</si>
  <si>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</si>
  <si>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</si>
  <si>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</si>
  <si>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</si>
  <si>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</si>
  <si>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</si>
  <si>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</si>
  <si>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</si>
  <si>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</si>
  <si>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</si>
  <si>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</si>
  <si>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</si>
  <si>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</si>
  <si>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</si>
  <si>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</si>
  <si>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</si>
  <si>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</si>
  <si>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</si>
  <si>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</si>
  <si>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</si>
  <si>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</si>
  <si>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</si>
  <si>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</si>
  <si>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</si>
  <si>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</si>
  <si>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</si>
  <si>
    <t>KQ-test\TC-21-06.png</t>
  </si>
  <si>
    <t>4 lần đầu đăng nhập sai vẫn chưa bị khóa đến lần 5 đăng nhập đúng vào đúng màn hình. Và solansai cũng về 0.</t>
  </si>
  <si>
    <t>sai lần thứ 5 tài khoản đã bị khóa với HTTP 423 và lần thứ 6 nhập đúng cũng HTTP 423</t>
  </si>
  <si>
    <t>KQ-test\TC-21-07.png</t>
  </si>
  <si>
    <t>HTTP 403 Forbidden, thông báo đỏ tài khoản đã bị vô hiệu hóa, vui lòng liên hệ chủ quán</t>
  </si>
  <si>
    <t>KQ-test\TC-21-09.png</t>
  </si>
  <si>
    <t>KQ-test\TC-01-01.png</t>
  </si>
  <si>
    <t>KQ-test\TC-01-02.png</t>
  </si>
  <si>
    <t>KQ-test\TC-01-03.png</t>
  </si>
  <si>
    <t>Giao diện chỉ có cho số lượng 1 ấn dấu - số lượng không bị thay đổi</t>
  </si>
  <si>
    <t>Giao diện chỉ có cho số lượng 100 ấn dấu + số lượng không bị thay đổi</t>
  </si>
  <si>
    <t>Giao diện: món hiện xám, không chọn được. message: bạc xĩu đã hết nguyên liệu và  bàn vẫn trống</t>
  </si>
  <si>
    <t>KQ-test\TC-01-07.png</t>
  </si>
  <si>
    <t>bàn cân dọn không gọi món được, hiện message cần dọn bàn</t>
  </si>
  <si>
    <t>KQ-test\TC-01-08.png</t>
  </si>
  <si>
    <t>pass</t>
  </si>
  <si>
    <t>KQ-test\TC-04-01.png</t>
  </si>
  <si>
    <t>HTTP 200. soLuong=3; tongTien = 85.000 + 4×40.000 = 245000; món vẫn CHO_PHA_CHE.</t>
  </si>
  <si>
    <t>KQ-test\TC-04-02.png</t>
  </si>
  <si>
    <t>KQ-test\TC-04-03.png</t>
  </si>
  <si>
    <t>Hệ thống không cho chỉnh số lượng về 0</t>
  </si>
  <si>
    <t>Hệ thống không cho chỉnh số lượng về 100</t>
  </si>
  <si>
    <t>hệ thống không hiện nút hủy với món đang làm</t>
  </si>
  <si>
    <t>KQ-test\TC-10-01.png</t>
  </si>
  <si>
    <t>phuongThuc = TIEN_MAT; tienKhachDua = 85.000; maGiaoDich mới</t>
  </si>
  <si>
    <t>Đã đăng nhập thungan01; đơn dh-001 (ban-03/B03, HOAN_THANH, tổng 85.000, mọi món DA_XONG) chưa thanh toán (vừa nạp lại DB).</t>
  </si>
  <si>
    <t>KQ-test\TC-10-02.png</t>
  </si>
  <si>
    <t>KQ-test\TC-10-03.png</t>
  </si>
  <si>
    <t>KQ-test\TC-10-06.png</t>
  </si>
  <si>
    <t>đơn đã thanh toán thì hệ thống sẽ không hiện nữa</t>
  </si>
  <si>
    <t>Khi bàn đang phục vụ thì màn hình tạo hóa đơn chỉ có gọi thêm chứ không còn tạo thêm đơn nữa</t>
  </si>
  <si>
    <t>Hệ thống báo lỗi chưa chọn món nào</t>
  </si>
  <si>
    <t>TC-01-10</t>
  </si>
  <si>
    <t>KQ-test\TC-01-10.png</t>
  </si>
  <si>
    <t>TC-10-8</t>
  </si>
  <si>
    <t>KQ-test\TC-10-07.png</t>
  </si>
  <si>
    <t>Màn hình không cho phép thay đổi số lượng khi món đang làm</t>
  </si>
  <si>
    <t>KQ-test\TC-04-09.png</t>
  </si>
  <si>
    <t>Màn hình không cho phép thay đổi số lượng khi món đã xong</t>
  </si>
  <si>
    <t>KQ-test\TC-04-10.png</t>
  </si>
  <si>
    <t>Giao diện: món hiện xám, không chọn được.</t>
  </si>
  <si>
    <t>KQ-test\TC-04-11.png</t>
  </si>
  <si>
    <t>Khi bàn đã thanh toán thì tự động chuyển sang cần dọn không cho phép thêm sửa xóa</t>
  </si>
  <si>
    <t>KQ-test\TC-04-12.png</t>
  </si>
  <si>
    <t>KQ-test\TC-21-04.png</t>
  </si>
  <si>
    <t>KQ-test\TC-21-08.png</t>
  </si>
  <si>
    <t>HTTP 401 Unauthorized, success=false, maLoi="CHUA_DANG_NHAP", message="Vui lòng đăng nhập". Server chặn thành công truy cập trái phép khi thiếu token Authorization</t>
  </si>
  <si>
    <t>KQ-test\TC-21-10.png</t>
  </si>
  <si>
    <t>KQ-test\TC-21-11.png</t>
  </si>
  <si>
    <t>HTTP 403 Forbidden, success=false, maLoi="KHONG_CO_QUYEN", message="Bạn không có quyền thực hiện thao tác này". Hệ thống phân quyền chặt chẽ, chặn thành công khi tài khoản Phuc vu gọi API thanh toán của Thu ngan. Dữ liệu đơn hàng giữ nguyên</t>
  </si>
  <si>
    <t>UC22</t>
  </si>
  <si>
    <t>UC24</t>
  </si>
  <si>
    <t>TC-22-01</t>
  </si>
  <si>
    <t>Xem danh sách thực đơn (Chủ quán xem được toàn bộ món)</t>
  </si>
  <si>
    <t>UC22 Main Flow (bước 1); GET /api/menu-items</t>
  </si>
  <si>
    <t>Đã nạp lại schema.sql rồi seed.sql; server đang chạy; đã đăng nhập tài khoản chutquan01 (vai trò CHU_QUAN).</t>
  </si>
  <si>
    <t>GET /api/menu-items; Bearer token của chutquan01</t>
  </si>
  <si>
    <t>HTTP 200, success=true. data chứa danh sách tất cả các món ăn gồm: id, tenMon, gia, trangThai (CON_HANG, TAM_HET). Bảng thực đơn trên giao diện hiển thị đầy đủ các món.</t>
  </si>
  <si>
    <t>HTTP 200, success=true, trả về đầy đủ danh sách món kèm đơn giá và trạng thái bán. Giao diện vẽ bảng thực đơn chính xác.</t>
  </si>
  <si>
    <t>Khớp TC-22-01 trong tests/uc22.test.js</t>
  </si>
  <si>
    <t>TC-22-02</t>
  </si>
  <si>
    <t>Thêm món mới hợp lệ thành công (tên được chuẩn hóa bỏ khoảng trắng thừa)</t>
  </si>
  <si>
    <t>UC22 Main Flow (bước 2-6); POST /api/menu-items</t>
  </si>
  <si>
    <t>Đã đăng nhập chutquan01 (vai trò CHU_QUAN). Món "Cà phê muối" chưa tồn tại trong thực đơn.</t>
  </si>
  <si>
    <t>POST /api/menu-items; body: { tenMon: "  Cà   phê muối ", gia: 35000 }</t>
  </si>
  <si>
    <t>HTTP 201 Created. Tên món được tự động cắt gọn khoảng trắng thừa thành "Cà phê muối", gia = 35000, trangThai mặc định = "CON_HANG". Toast thông báo: "Đã thêm \"Cà phê muối\" vào thực đơn." và danh sách món được cập nhật ngay lập tức. CSDL có bản ghi mới trong bảng mon_an.</t>
  </si>
  <si>
    <t>TC-22-03</t>
  </si>
  <si>
    <t>Thêm món với tên trống hoặc chỉ chứa khoảng trắng (EF-1)</t>
  </si>
  <si>
    <t>EP (invalid class: tên món rỗng / toàn khoảng trắng)</t>
  </si>
  <si>
    <t>UC22 EF-1; POST /api/menu-items; mã lỗi TEN_MON_TRONG</t>
  </si>
  <si>
    <t>Đã đăng nhập chutquan01 (vai trò CHU_QUAN). Server đang chạy.</t>
  </si>
  <si>
    <t>(a) tenMon = "", gia = 35000
(b) tenMon = "   ", gia = 35000
(c) tenMon = undefined / null</t>
  </si>
  <si>
    <t>Giao diện: Hiển thị lỗi màu đỏ "Vui lòng nhập tên món" dưới ô tên món, focus về ô tên món.
API: HTTP 400 Bad Request, success=false, maLoi=TEN_MON_TRONG. Không ghi dữ liệu vào CSDL.</t>
  </si>
  <si>
    <t>TC-22-04</t>
  </si>
  <si>
    <t>Thêm món với tên vượt quá 100 ký tự (EF-2)</t>
  </si>
  <si>
    <t>BVA (ngay trên biên 100 ký tự: 101 ký tự)</t>
  </si>
  <si>
    <t>UC22 EF-2; POST /api/menu-items; mã lỗi TEN_MON_QUA_DAI</t>
  </si>
  <si>
    <t>tenMon = chuỗi 101 ký tự "A" ("A"×101), gia = 35000</t>
  </si>
  <si>
    <t>Giao diện: Thuộc tính maxlength="100" ngăn người dùng nhập quá 100 ký tự.
API: HTTP 400 Bad Request, success=false, maLoi=TEN_MON_QUA_DAI, message="Tên món tối đa 100 ký tự". Không lưu CSDL.</t>
  </si>
  <si>
    <t>TC-22-05</t>
  </si>
  <si>
    <t>Thêm món trùng tên đã có trong thực đơn (không phân biệt hoa thường) (EF-3)</t>
  </si>
  <si>
    <t>Black-box theo UC Spec (EF-3)</t>
  </si>
  <si>
    <t>UC22 EF-3; POST /api/menu-items; mã lỗi TEN_MON_DA_TON_TAI</t>
  </si>
  <si>
    <t>Đã đăng nhập chutquan01 (vai trò CHU_QUAN). Món "Cà phê đen" đã có sẵn trong thực đơn.</t>
  </si>
  <si>
    <t>tenMon = "CÀ PHÊ ĐEN" (viết hoa toàn bộ), gia = 30000</t>
  </si>
  <si>
    <t>HTTP 409 Conflict, success=false, maLoi=TEN_MON_DA_TON_TAI, message="Món \"Cà phê đen\" đã có trong thực đơn". Không tạo bản ghi trùng lặp trong CSDL.</t>
  </si>
  <si>
    <t>TC-22-06</t>
  </si>
  <si>
    <t>Giá món ở biên hợp lệ (1 đồng và 10.000.000 đồng)</t>
  </si>
  <si>
    <t>BVA (biên dưới = 1; biên trên = 10.000.000)</t>
  </si>
  <si>
    <t>UC22 Main Flow; POST /api/menu-items; BVA giá hợp lệ</t>
  </si>
  <si>
    <t>(a) tenMon = "Món giá 1 đồng", gia = 1
(b) tenMon = "Món giá 10 triệu", gia = 10000000</t>
  </si>
  <si>
    <t>HTTP 201 Created cho cả 2 trường hợp. Món được lưu thành công vào CSDL với đúng giá trị biên 1đ và 10.000.000đ.</t>
  </si>
  <si>
    <t>TC-22-07</t>
  </si>
  <si>
    <t>Giá món không hợp lệ: 0, số âm, vượt 10 triệu, số thập phân, chuỗi, null (EF-4)</t>
  </si>
  <si>
    <t>EP + BVA (invalid class &amp; ngoài biên)</t>
  </si>
  <si>
    <t>UC22 EF-4; POST /api/menu-items; mã lỗi GIA_KHONG_HOP_LE</t>
  </si>
  <si>
    <t>Thử các trường hợp gia:
(a) gia = 0
(b) gia = -1000
(c) gia = 10000001
(d) gia = 1500.5
(e) gia = "35000"
(f) gia = null</t>
  </si>
  <si>
    <t>Giao diện: Báo lỗi "Giá phải là số nguyên từ 1 đến 10.000.000 đồng" dưới ô giá.
API: HTTP 400 Bad Request, success=false, maLoi=GIA_KHONG_HOP_LE. Không lưu vào CSDL.</t>
  </si>
  <si>
    <t>TC-22-08</t>
  </si>
  <si>
    <t>Sửa giá món có sẵn trong thực đơn (AF-1)</t>
  </si>
  <si>
    <t>Black-box theo UC Spec (AF-1)</t>
  </si>
  <si>
    <t>UC22 AF-1; PATCH /api/menu-items/:id; capNhatGia</t>
  </si>
  <si>
    <t>Đã đăng nhập chutquan01 (vai trò CHU_QUAN). Món "Cà phê đen" (mon-01) đang có giá 25.000đ.</t>
  </si>
  <si>
    <t>PATCH /api/menu-items/mon-01; body: { gia: 28000 }</t>
  </si>
  <si>
    <t>HTTP 200 OK. CSDL cập nhật mon_an.gia = 28000, trạng thái giữ nguyên. Giao diện thông báo: "Đã đổi giá \"Cà phê đen\" thành 28.000đ." và cập nhật giá hiển thị.</t>
  </si>
  <si>
    <t>TC-22-09</t>
  </si>
  <si>
    <t>Tắt bán (chuyển Tạm hết) và Bật bán lại (chuyển Đang bán) (AF-2)</t>
  </si>
  <si>
    <t>Black-box theo UC Spec (AF-2)</t>
  </si>
  <si>
    <t>UC22 AF-2; PATCH /api/menu-items/:id; capNhatTrangThai</t>
  </si>
  <si>
    <t>Đã đăng nhập chutquan01 (vai trò CHU_QUAN). mon-01 đang "CON_HANG", mon-03 đang "TAM_HET".</t>
  </si>
  <si>
    <t>(a) PATCH /api/menu-items/mon-01 với { trangThai: "TAM_HET" }
(b) PATCH /api/menu-items/mon-03 với { trangThai: "CON_HANG" }</t>
  </si>
  <si>
    <t>HTTP 200 OK cho cả 2 thao tác:
(a) mon-01 chuyển sang TAM_HET, nhãn đổi "Tạm hết", nút đổi "Bật bán". Màn hình Phục vụ hiện món màu xám, nút "+ Thêm" bị vô hiệu hóa.
(b) mon-03 chuyển sang CON_HANG, nhãn đổi "Đang bán", nút đổi "Tắt bán". Màn hình Phục vụ cho phép gọi món bình thường.</t>
  </si>
  <si>
    <t>TC-22-10</t>
  </si>
  <si>
    <t>Sửa món không tồn tại trong hệ thống (EF-5)</t>
  </si>
  <si>
    <t>EP (invalid class: monId không tồn tại)</t>
  </si>
  <si>
    <t>UC22 EF-5; PATCH /api/menu-items/:id; mã lỗi MON_KHONG_TON_TAI</t>
  </si>
  <si>
    <t>Đã đăng nhập chutquan01 (vai trò CHU_QUAN). Mã mon-99 không tồn tại trong CSDL.</t>
  </si>
  <si>
    <t>PATCH /api/menu-items/mon-99; body: { gia: 28000 }</t>
  </si>
  <si>
    <t>HTTP 404 Not Found, success=false, maLoi=MON_KHONG_TON_TAI, message="Không tìm thấy món". Giao diện thông báo lỗi và tự động tải lại danh sách thực đơn.</t>
  </si>
  <si>
    <t>TC-22-11</t>
  </si>
  <si>
    <t>Sửa món với dữ liệu rỗng hoặc trạng thái không hợp lệ</t>
  </si>
  <si>
    <t>EP (invalid class: trạng thái ngoài ENUM / payload rỗng)</t>
  </si>
  <si>
    <t>UC22; PATCH /api/menu-items/:id; mã lỗi TRANG_THAI_KHONG_HOP_LE / DU_LIEU_KHONG_HOP_LE</t>
  </si>
  <si>
    <t>Đã đăng nhập chutquan01 (vai trò CHU_QUAN). Món mon-01 đang tồn tại.</t>
  </si>
  <si>
    <t>(a) PATCH /api/menu-items/mon-01; body: { gia: 28000, trangThai: "HET_HANG" }
(b) PATCH /api/menu-items/mon-01; body: {}</t>
  </si>
  <si>
    <t>(a) HTTP 400 Bad Request, maLoi=TRANG_THAI_KHONG_HOP_LE. Không sửa bất kỳ trường nào (kể cả giá gửi kèm).
(b) HTTP 400 Bad Request, maLoi=DU_LIEU_KHONG_HOP_LE, message="Không có thông tin cần sửa".</t>
  </si>
  <si>
    <t>TC-22-12</t>
  </si>
  <si>
    <t>Gọi API Quản lý menu khi chưa đăng nhập (EF-6 Security)</t>
  </si>
  <si>
    <t>EP (invalid class: thiếu Authorization header)</t>
  </si>
  <si>
    <t>UC22 EF-6; NFR-Security; middleware verifyToken; mã lỗi CHUA_DANG_NHAP</t>
  </si>
  <si>
    <t>Chưa đăng nhập, không có token Authorization.</t>
  </si>
  <si>
    <t>Gọi GET /api/menu-items, POST /api/menu-items, PATCH /api/menu-items/mon-01 không gửi header Authorization</t>
  </si>
  <si>
    <t>HTTP 401 Unauthorized, success=false, maLoi=CHUA_DANG_NHAP, message="Vui lòng đăng nhập". Hệ thống từ chối mọi yêu cầu và không thay đổi dữ liệu.</t>
  </si>
  <si>
    <t>TC-22-13</t>
  </si>
  <si>
    <t>Sai vai trò (Phục vụ, Barista, Thu ngân) gọi API Quản lý menu bị từ chối (EF-6 Security)</t>
  </si>
  <si>
    <t>EP (invalid class: vai trò không phải CHU_QUAN)</t>
  </si>
  <si>
    <t>UC22 EF-6; NFR-Security; middleware requireRole('CHU_QUAN'); mã lỗi KHONG_CO_QUYEN</t>
  </si>
  <si>
    <t>Đã đăng nhập với tài khoản vai trò PHUC_VU, BARISTA hoặc THU_NGAN (có token hợp lệ nhưng sai quyền).</t>
  </si>
  <si>
    <t>Dùng token PHUC_VU / BARISTA / THU_NGAN gọi GET, POST, PATCH /api/menu-items</t>
  </si>
  <si>
    <t>HTTP 403 Forbidden, success=false, maLoi=KHONG_CO_QUYEN, message="Bạn không có quyền thực hiện thao tác này". Không thêm/sửa món ăn.</t>
  </si>
  <si>
    <t>TC-22-14</t>
  </si>
  <si>
    <t>Black-box theo UC Spec (AF-3)</t>
  </si>
  <si>
    <t>TC-24-01</t>
  </si>
  <si>
    <t>Xem báo cáo doanh thu theo khoảng ngày hợp lệ</t>
  </si>
  <si>
    <t>UC24 Main Flow (bước 1-6); GET /api/reports/revenue</t>
  </si>
  <si>
    <t>Đã nạp lại schema.sql rồi seed.sql; đã đăng nhập tài khoản chutquan01 (vai trò CHU_QUAN). Trong khoảng ngày chọn có các đơn hàng thanh toán thành công.</t>
  </si>
  <si>
    <t>GET /api/reports/revenue?tuNgay=2026-10-10&amp;denNgay=2026-10-12 với Bearer token của chutquan01</t>
  </si>
  <si>
    <t>HTTP 200 OK. data trả về gồm: tuNgay, denNgay, soDon, doanhThu, trungBinhDon (làm tròn đến đồng); theoPhuongThuc gồm đủ 2 phương thức TIEN_MAT và QR (kể cả phương thức có doanh thu = 0); theoNgay gồm doanh thu từng ngày; topMon gồm tối đa 5 món bán chạy nhất (không tính món đã hủy).</t>
  </si>
  <si>
    <t>TC-24-02</t>
  </si>
  <si>
    <t>Truy vấn dữ liệu tính trọn vẹn mốc thời gian từ 00:00:00 ngày đầu đến trước 00:00:00 ngày sau ngày cuối</t>
  </si>
  <si>
    <t>Functional / Boundary</t>
  </si>
  <si>
    <t>UC24 Main Flow (bước 5); BaoCaoService.layBaoCao</t>
  </si>
  <si>
    <t>GET /api/reports/revenue?tuNgay=2026-10-10&amp;denNgay=2026-10-12</t>
  </si>
  <si>
    <t>Các hàm trong BaoCaoRepository được gọi với khoảng mốc thời gian chuẩn: tuLuc = "2026-10-10 00:00:00" đến denTruoc = "2026-10-13 00:00:00", đảm bảo tính trọn vẹn tất cả giao dịch đến 23:59:59 của ngày kết thúc.</t>
  </si>
  <si>
    <t>TC-24-03</t>
  </si>
  <si>
    <t>Biên ngày cuối tháng hoặc cuối năm vẫn cộng mốc giờ chính xác</t>
  </si>
  <si>
    <t>BVA (ranh giới ngày cuối năm 31/12)</t>
  </si>
  <si>
    <t>UC24; BaoCaoService.vietNgay; BVA ngày</t>
  </si>
  <si>
    <t>Đã đăng nhập chutquan01 (vai trò CHU_QUAN).</t>
  </si>
  <si>
    <t>GET /api/reports/revenue?tuNgay=2026-12-31 (xem báo cáo ngày cuối năm)</t>
  </si>
  <si>
    <t>HTTP 200 OK. Mốc giờ denTruoc được tính chính xác sang năm mới: "2026-12-31 00:00:00" đến "2027-01-01 00:00:00" (không bị tràn tháng hay lỗi ngày phi lý).</t>
  </si>
  <si>
    <t>TC-24-04</t>
  </si>
  <si>
    <t>Không truyền tham số ngày -&gt; Mặc định xem báo cáo ngày hôm nay (AF-2 / Main Flow bước 1)</t>
  </si>
  <si>
    <t>Functional (mặc định / AF-2)</t>
  </si>
  <si>
    <t>UC24 Main Flow (bước 1) &amp; AF-2; GET /api/reports/revenue</t>
  </si>
  <si>
    <t>GET /api/reports/revenue (không truyền query param tuNgay, denNgay)</t>
  </si>
  <si>
    <t>HTTP 200 OK. Hệ thống tự động điền tuNgay = denNgay = ngày hiện tại của máy chủ dạng YYYY-MM-DD và trả về báo cáo của ngày hôm nay.</t>
  </si>
  <si>
    <t>TC-24-05</t>
  </si>
  <si>
    <t>Khoảng ngày không có giao dịch thanh toán thành công (AF-3)</t>
  </si>
  <si>
    <t>UC24 AF-3; BaoCaoService; xử lý Division by Zero</t>
  </si>
  <si>
    <t>Đã đăng nhập chutquan01 (vai trò CHU_QUAN). Ngày 2026-10-13 chưa có giao dịch nào thành công.</t>
  </si>
  <si>
    <t>GET /api/reports/revenue?tuNgay=2026-10-13&amp;denNgay=2026-10-13</t>
  </si>
  <si>
    <t>HTTP 200 OK. soDon = 0, doanhThu = 0, trungBinhDon = 0 (tránh chia cho 0), theoNgay = [], topMon = []. Giao diện hiển thị: doanh thu 0đ, 0 đơn; các bảng báo "Chưa có món nào được bán trong khoảng này." và "Chưa có doanh thu trong khoảng này."</t>
  </si>
  <si>
    <t>TC-24-06</t>
  </si>
  <si>
    <t>Ngày sai định dạng hoặc là ngày không có thật trong lịch (EF-4)</t>
  </si>
  <si>
    <t>EP (invalid class: định dạng ngày sai / ngày phi lý)</t>
  </si>
  <si>
    <t>UC24 EF-4; GET /api/reports/revenue; mã lỗi NGAY_KHONG_HOP_LE</t>
  </si>
  <si>
    <t>Thử các giá trị tuNgay:
(a) tuNgay = "10/10/2026" (sai format DD/MM/YYYY)
(b) tuNgay = "2026-02-30" (ngày 30/02 không tồn tại)
(c) tuNgay = "2026-13-01" (tháng 13 không tồn tại)
(d) tuNgay = "abc" (chuỗi ký tự chữ)</t>
  </si>
  <si>
    <t>HTTP 400 Bad Request, success=false, maLoi=NGAY_KHONG_HOP_LE, message="Ngày phải có dạng YYYY-MM-DD và là ngày có thật". Hệ thống không thực hiện truy vấn SQL vào CSDL.</t>
  </si>
  <si>
    <t>TC-24-07</t>
  </si>
  <si>
    <t>"Từ ngày" sau "Đến ngày" hoặc khoảng ngày vượt quá 366 ngày (EF-2, EF-3, Boundary 366 ngày)</t>
  </si>
  <si>
    <t>BVA (ngưỡng 366 ngày) + EP (khoảng ngày ngược)</t>
  </si>
  <si>
    <t>UC24 EF-2 &amp; EF-3; GET /api/reports/revenue; mã lỗi KHOANG_NGAY_KHONG_HOP_LE</t>
  </si>
  <si>
    <t>(a) tuNgay = "2026-10-13", denNgay = "2026-10-01" ("Từ ngày" sau "Đến ngày")
(b) tuNgay = "2025-01-01", denNgay = "2026-10-13" (651 ngày &gt; 366 ngày)
(c) tuNgay = "2025-10-14", denNgay = "2026-10-14" (đúng 366 ngày - biên trên hợp lệ)</t>
  </si>
  <si>
    <t>(a) HTTP 400 Bad Request, maLoi=KHOANG_NGAY_KHONG_HOP_LE, message="\"Từ ngày\" không được sau \"Đến ngày\"".
(b) HTTP 400 Bad Request, maLoi=KHOANG_NGAY_KHONG_HOP_LE, message="Chỉ xem tối đa 366 ngày mỗi lần".
(c) HTTP 200 OK (biên đúng 366 ngày được chấp nhận).</t>
  </si>
  <si>
    <t>TC-24-08</t>
  </si>
  <si>
    <t>Phân quyền truy cập báo cáo doanh thu: chưa đăng nhập hoặc sai vai trò bị từ chối (EF-5 Security)</t>
  </si>
  <si>
    <t>EP (invalid class: thiếu token / sai vai trò)</t>
  </si>
  <si>
    <t>UC24 EF-5; NFR-Security; middleware verifyToken &amp; requireRole('CHU_QUAN'); mã lỗi CHUA_DANG_NHAP / KHONG_CO_QUYEN</t>
  </si>
  <si>
    <t>Server đang chạy.</t>
  </si>
  <si>
    <t>(a) GET /api/reports/revenue không gửi kèm token Authorization
(b) GET /api/reports/revenue với token của tài khoản vai trò PHUC_VU, BARISTA hoặc THU_NGAN</t>
  </si>
  <si>
    <t>(a) HTTP 401 Unauthorized, maLoi=CHUA_DANG_NHAP, message="Vui lòng đăng nhập".
(b) HTTP 403 Forbidden, maLoi=KHONG_CO_QUYEN, message="Bạn không có quyền thực hiện thao tác này". Không để lộ dữ liệu kinh doanh của quán cho vai trò khác.</t>
  </si>
  <si>
    <t>TC-24-09</t>
  </si>
  <si>
    <t>Chọn nhanh khoảng ngày ("Hôm nay", "7 ngày qua", "Tháng này") trên giao diện (AF-1)</t>
  </si>
  <si>
    <t>UC24 AF-1; nút [data-nhanh] trên giao diện bao-cao.html</t>
  </si>
  <si>
    <t>Đã đăng nhập chutquan01 (vai trò CHU_QUAN). Mở trang Báo cáo doanh thu (bao-cao.html).</t>
  </si>
  <si>
    <t>Lần lượt click các nút:
(a) Nút "Hôm nay"
(b) Nút "7 ngày qua"
(c) Nút "Tháng này"</t>
  </si>
  <si>
    <t>Hệ thống tự động tính toán và điền chính xác vào 2 ô "Từ ngày" và "Đến ngày", đồng thời gọi API tải lại báo cáo ngay:
(a) "Hôm nay": Từ ngày = Đến ngày = ngày hiện tại
(b) "7 ngày qua": Từ ngày = ngày hiện tại - 6 ngày; Đến ngày = ngày hiện tại
(c) "Tháng này": Từ ngày = ngày 01 của tháng hiện tại; Đến ngày = ngày hiện tại</t>
  </si>
  <si>
    <t>TC-24-10</t>
  </si>
  <si>
    <t>Bỏ trống "Từ ngày" khi xem báo cáo trên giao diện (EF-1)</t>
  </si>
  <si>
    <t>EP (invalid class: thiếu trường bắt buộc trên UI)</t>
  </si>
  <si>
    <t>UC24 EF-1; hàm taiBaoCao() trong bao-cao.js</t>
  </si>
  <si>
    <t>Đã đăng nhập chutquan01 (vai trò CHU_QUAN). Mở trang Báo cáo doanh thu.</t>
  </si>
  <si>
    <t>Xóa trống giá trị ở ô "Từ ngày", nhấn nút "Xem báo cáo"</t>
  </si>
  <si>
    <t>Giao diện chặn không gửi request lên server. Hiển thị thông báo lỗi màu đỏ: "Vui lòng chọn \"Từ ngày\"." ngay dưới hàng bộ lọc và tự động focus vào ô "Từ ngày".</t>
  </si>
  <si>
    <t>KQ-test\TC-22-02.png</t>
  </si>
  <si>
    <t>KQ-test\TC-22-03.png</t>
  </si>
  <si>
    <t>Kiểm tra giữ nguyên trạng thái món khi Chủ quán đã chủ động "Tắt bán"</t>
  </si>
  <si>
    <t>Integration Testing (Business Logic Conflict)</t>
  </si>
  <si>
    <t>UC18 &amp; UC22; POST /api/inventory/:id/restock; KhoHangRepository.js (hàm dongBoTrangThaiMonAn)</t>
  </si>
  <si>
    <t>- Món "Cà phê đen" có công thức gồm nguyên liệu "Hạt cà phê Robusta" (tồn kho &gt; 0).
- Chủ quán vào trang Quản lý menu, bấm "Tắt bán" món "Cà phê đen" (chuyển sang TAM_HET do quán tạm ngưng phục vụ).</t>
  </si>
  <si>
    <t>1. Barista thực hiện nhập thêm kho cho nguyên liệu "Hạt cà phê Robusta": POST /api/inventory/nl-01/restock với { soLuong: 10 }.
2. Kiểm tra lại trạng thái của món "Cà phê đen" trong bảng mon_an và trên menu Phục vụ.</t>
  </si>
  <si>
    <t>Món "Cà phê đen" vẫn phải giữ nguyên trạng thái TAM_HET vì Chủ quán đã chủ động tắt bán.</t>
  </si>
  <si>
    <t>Giao diện chỉ cho phép người dùng nhập giới hạn 100 ký tự không cho nhập hơn.</t>
  </si>
  <si>
    <t>KQ-test\TC-22-04.png</t>
  </si>
  <si>
    <t>KQ-test\TC-22-05.png</t>
  </si>
  <si>
    <t>KQ-test\TC-22-06.png</t>
  </si>
  <si>
    <t>KQ-test\TC-22-08.png</t>
  </si>
  <si>
    <t>KQ-test\TC-22-09.png</t>
  </si>
  <si>
    <t>KQ-test\TC-22-10.png</t>
  </si>
  <si>
    <t>KQ-test\TC-22-12.png</t>
  </si>
  <si>
    <t>KQ-test\TC-22-13.png</t>
  </si>
  <si>
    <t>Món cà phê đen sau khi được nhập nguyên liệu thì tự động đổi qua trạng thái còn hàng.</t>
  </si>
  <si>
    <t>fail</t>
  </si>
  <si>
    <t>KQ-test\TC-22-14.png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</si>
</sst>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charset val="1"/>
    </font>
    <font>
      <sz val="11"/>
      <color theme="1"/>
      <name val="Calibri"/>
      <family val="2"/>
      <scheme val="minor"/>
    </font>
    <font>
      <b/>
      <sz val="14"/>
      <color rgb="FF1F3864"/>
      <name val="Arial"/>
      <family val="2"/>
    </font>
    <font>
      <b/>
      <sz val="10"/>
      <color rgb="FF000000"/>
      <name val="Arial"/>
      <family val="2"/>
    </font>
    <font>
      <sz val="10"/>
      <color rgb="FF000000"/>
      <name val="Arial"/>
      <family val="2"/>
    </font>
    <font>
      <b/>
      <sz val="10"/>
      <color rgb="FFFFFFFF"/>
      <name val="Arial"/>
      <family val="2"/>
    </font>
    <font>
      <b/>
      <sz val="11"/>
      <color rgb="FF1F3864"/>
      <name val="Arial"/>
      <family val="2"/>
    </font>
    <font>
      <u/>
      <sz val="11"/>
      <color theme="10"/>
      <name val="Calibri"/>
      <family val="2"/>
      <charset val="1"/>
    </font>
    <font>
      <sz val="8"/>
      <name val="Calibri"/>
      <family val="2"/>
      <charset val="1"/>
    </font>
    <font>
      <sz val="10"/>
      <name val="Arial"/>
      <family val="2"/>
    </font>
    <font>
      <sz val="10"/>
      <color rgb="FF000000"/>
      <name val="Arial"/>
      <family val="2"/>
    </font>
    <font>
      <b/>
      <sz val="10"/>
      <color rgb="FF9C0006"/>
      <name val="Arial"/>
      <family val="2"/>
    </font>
    <font>
      <sz val="10"/>
      <color rgb="FF000000"/>
      <name val="Arial"/>
      <family val="2"/>
    </font>
  </fonts>
  <fills count="7">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
      <patternFill patternType="solid">
        <fgColor theme="0"/>
        <bgColor rgb="FFFFC7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7" fillId="0" borderId="0" applyNumberFormat="0" applyFill="0" applyBorder="0" applyAlignment="0" applyProtection="0"/>
    <xf numFmtId="0" fontId="1" fillId="0" borderId="0"/>
  </cellStyleXfs>
  <cellXfs count="26">
    <xf numFmtId="0" fontId="0" fillId="0" borderId="0" xfId="0"/>
    <xf numFmtId="0" fontId="4" fillId="0" borderId="1" xfId="0" applyFont="1" applyBorder="1" applyAlignment="1">
      <alignment vertical="top" wrapText="1"/>
    </xf>
    <xf numFmtId="0" fontId="2" fillId="0" borderId="0" xfId="0" applyFont="1"/>
    <xf numFmtId="0" fontId="3" fillId="3" borderId="1" xfId="0" applyFont="1" applyFill="1" applyBorder="1" applyAlignment="1">
      <alignment vertical="top" wrapText="1"/>
    </xf>
    <xf numFmtId="0" fontId="5"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4" fillId="0" borderId="1" xfId="0" applyFont="1" applyBorder="1" applyAlignment="1">
      <alignment horizontal="center" vertical="top" wrapText="1"/>
    </xf>
    <xf numFmtId="0" fontId="3" fillId="0" borderId="1" xfId="0" applyFont="1" applyBorder="1" applyAlignment="1">
      <alignment vertical="top" wrapText="1"/>
    </xf>
    <xf numFmtId="0" fontId="5" fillId="5" borderId="1" xfId="0" applyFont="1" applyFill="1" applyBorder="1" applyAlignment="1">
      <alignment horizontal="center" vertical="center" wrapText="1"/>
    </xf>
    <xf numFmtId="164" fontId="4" fillId="0" borderId="1" xfId="0" applyNumberFormat="1" applyFont="1" applyBorder="1" applyAlignment="1">
      <alignment horizontal="center" vertical="top" wrapText="1"/>
    </xf>
    <xf numFmtId="0" fontId="3" fillId="3" borderId="1" xfId="0" applyFont="1" applyFill="1" applyBorder="1" applyAlignment="1">
      <alignment horizontal="center" vertical="top" wrapText="1"/>
    </xf>
    <xf numFmtId="0" fontId="4" fillId="3" borderId="1" xfId="0" applyFont="1" applyFill="1" applyBorder="1" applyAlignment="1">
      <alignment vertical="top" wrapText="1"/>
    </xf>
    <xf numFmtId="164" fontId="3" fillId="3" borderId="1" xfId="0" applyNumberFormat="1" applyFont="1" applyFill="1" applyBorder="1" applyAlignment="1">
      <alignment horizontal="center" vertical="top" wrapText="1"/>
    </xf>
    <xf numFmtId="0" fontId="6" fillId="0" borderId="0" xfId="0" applyFont="1"/>
    <xf numFmtId="0" fontId="7" fillId="0" borderId="1" xfId="1" applyBorder="1" applyAlignment="1">
      <alignment vertical="top" wrapText="1"/>
    </xf>
    <xf numFmtId="0" fontId="9" fillId="0" borderId="1" xfId="0" applyFont="1" applyBorder="1" applyAlignment="1">
      <alignment horizontal="center" vertical="top" wrapText="1"/>
    </xf>
    <xf numFmtId="0" fontId="9" fillId="0" borderId="1" xfId="0" applyFont="1" applyBorder="1" applyAlignment="1">
      <alignment vertical="top" wrapText="1"/>
    </xf>
    <xf numFmtId="0" fontId="10" fillId="0" borderId="1" xfId="2" applyFont="1" applyBorder="1" applyAlignment="1">
      <alignment horizontal="center" vertical="top" wrapText="1"/>
    </xf>
    <xf numFmtId="0" fontId="10" fillId="0" borderId="1" xfId="2" applyFont="1" applyBorder="1" applyAlignment="1">
      <alignment horizontal="left" vertical="top" wrapText="1"/>
    </xf>
    <xf numFmtId="0" fontId="12" fillId="0" borderId="1" xfId="2" applyFont="1" applyBorder="1" applyAlignment="1">
      <alignment horizontal="center" vertical="top" wrapText="1"/>
    </xf>
    <xf numFmtId="0" fontId="11" fillId="6" borderId="1" xfId="2" applyFont="1" applyFill="1" applyBorder="1" applyAlignment="1">
      <alignment horizontal="center" vertical="top" wrapText="1"/>
    </xf>
    <xf numFmtId="0" fontId="7" fillId="0" borderId="1" xfId="1" applyBorder="1" applyAlignment="1">
      <alignment horizontal="center" vertical="top" wrapText="1"/>
    </xf>
    <xf numFmtId="0" fontId="4" fillId="0" borderId="1" xfId="0" applyFont="1" applyBorder="1" applyAlignment="1">
      <alignment vertical="top" wrapText="1"/>
    </xf>
    <xf numFmtId="0" fontId="4" fillId="4" borderId="1" xfId="0" applyFont="1" applyFill="1" applyBorder="1" applyAlignment="1">
      <alignment vertical="top" wrapText="1"/>
    </xf>
    <xf numFmtId="0" fontId="4" fillId="0" borderId="1" xfId="2" applyFont="1" applyBorder="1" applyAlignment="1">
      <alignment horizontal="left" vertical="top" wrapText="1"/>
    </xf>
    <xf numFmtId="0" fontId="7" fillId="0" borderId="1" xfId="1" applyBorder="1" applyAlignment="1">
      <alignment horizontal="left" vertical="top" wrapText="1"/>
    </xf>
  </cellXfs>
  <cellStyles count="3">
    <cellStyle name="Hyperlink" xfId="1" builtinId="8"/>
    <cellStyle name="Normal" xfId="0" builtinId="0"/>
    <cellStyle name="Normal 2" xfId="2" xr:uid="{5FAD4E6F-4F20-44E1-AD8C-2B89C9EDDB5E}"/>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KQ-test\TC-04-01.png" TargetMode="External"/><Relationship Id="rId18" Type="http://schemas.openxmlformats.org/officeDocument/2006/relationships/hyperlink" Target="KQ-test\TC-10-03.png" TargetMode="External"/><Relationship Id="rId26" Type="http://schemas.openxmlformats.org/officeDocument/2006/relationships/hyperlink" Target="KQ-test\TC-21-04.png" TargetMode="External"/><Relationship Id="rId39" Type="http://schemas.openxmlformats.org/officeDocument/2006/relationships/hyperlink" Target="KQ-test\TC-22-13.png" TargetMode="External"/><Relationship Id="rId21" Type="http://schemas.openxmlformats.org/officeDocument/2006/relationships/hyperlink" Target="KQ-test\TC-01-10.png" TargetMode="External"/><Relationship Id="rId34" Type="http://schemas.openxmlformats.org/officeDocument/2006/relationships/hyperlink" Target="KQ-test\TC-22-06.png" TargetMode="External"/><Relationship Id="rId7" Type="http://schemas.openxmlformats.org/officeDocument/2006/relationships/hyperlink" Target="KQ-test\TC-21-09.png" TargetMode="External"/><Relationship Id="rId12" Type="http://schemas.openxmlformats.org/officeDocument/2006/relationships/hyperlink" Target="KQ-test\TC-01-08.png" TargetMode="External"/><Relationship Id="rId17" Type="http://schemas.openxmlformats.org/officeDocument/2006/relationships/hyperlink" Target="KQ-test\TC-10-02.png" TargetMode="External"/><Relationship Id="rId25" Type="http://schemas.openxmlformats.org/officeDocument/2006/relationships/hyperlink" Target="KQ-test\TC-04-12.png" TargetMode="External"/><Relationship Id="rId33" Type="http://schemas.openxmlformats.org/officeDocument/2006/relationships/hyperlink" Target="KQ-test\TC-22-05.png" TargetMode="External"/><Relationship Id="rId38" Type="http://schemas.openxmlformats.org/officeDocument/2006/relationships/hyperlink" Target="KQ-test\TC-22-12.png" TargetMode="External"/><Relationship Id="rId2" Type="http://schemas.openxmlformats.org/officeDocument/2006/relationships/hyperlink" Target="KQ-test\TC-21-02.pdf" TargetMode="External"/><Relationship Id="rId16" Type="http://schemas.openxmlformats.org/officeDocument/2006/relationships/hyperlink" Target="KQ-test\TC-10-01.png" TargetMode="External"/><Relationship Id="rId20" Type="http://schemas.openxmlformats.org/officeDocument/2006/relationships/hyperlink" Target="KQ-test\TC-10-07.png" TargetMode="External"/><Relationship Id="rId29" Type="http://schemas.openxmlformats.org/officeDocument/2006/relationships/hyperlink" Target="KQ-test\TC-21-11.png" TargetMode="External"/><Relationship Id="rId1" Type="http://schemas.openxmlformats.org/officeDocument/2006/relationships/hyperlink" Target="KQ-test\TC-21-01.png" TargetMode="External"/><Relationship Id="rId6" Type="http://schemas.openxmlformats.org/officeDocument/2006/relationships/hyperlink" Target="KQ-test\TC-21-07.png" TargetMode="External"/><Relationship Id="rId11" Type="http://schemas.openxmlformats.org/officeDocument/2006/relationships/hyperlink" Target="KQ-test\TC-01-07.png" TargetMode="External"/><Relationship Id="rId24" Type="http://schemas.openxmlformats.org/officeDocument/2006/relationships/hyperlink" Target="KQ-test\TC-04-11.png" TargetMode="External"/><Relationship Id="rId32" Type="http://schemas.openxmlformats.org/officeDocument/2006/relationships/hyperlink" Target="KQ-test\TC-22-04.png" TargetMode="External"/><Relationship Id="rId37" Type="http://schemas.openxmlformats.org/officeDocument/2006/relationships/hyperlink" Target="KQ-test\TC-22-10.png" TargetMode="External"/><Relationship Id="rId40" Type="http://schemas.openxmlformats.org/officeDocument/2006/relationships/hyperlink" Target="KQ-test\TC-22-14.png" TargetMode="External"/><Relationship Id="rId5" Type="http://schemas.openxmlformats.org/officeDocument/2006/relationships/hyperlink" Target="KQ-test\TC-21-06.png" TargetMode="External"/><Relationship Id="rId15" Type="http://schemas.openxmlformats.org/officeDocument/2006/relationships/hyperlink" Target="KQ-test\TC-04-03.png" TargetMode="External"/><Relationship Id="rId23" Type="http://schemas.openxmlformats.org/officeDocument/2006/relationships/hyperlink" Target="KQ-test\TC-04-10.png" TargetMode="External"/><Relationship Id="rId28" Type="http://schemas.openxmlformats.org/officeDocument/2006/relationships/hyperlink" Target="KQ-test\TC-21-10.png" TargetMode="External"/><Relationship Id="rId36" Type="http://schemas.openxmlformats.org/officeDocument/2006/relationships/hyperlink" Target="KQ-test\TC-22-09.png" TargetMode="External"/><Relationship Id="rId10" Type="http://schemas.openxmlformats.org/officeDocument/2006/relationships/hyperlink" Target="KQ-test\TC-01-03.png" TargetMode="External"/><Relationship Id="rId19" Type="http://schemas.openxmlformats.org/officeDocument/2006/relationships/hyperlink" Target="KQ-test\TC-10-06.png" TargetMode="External"/><Relationship Id="rId31" Type="http://schemas.openxmlformats.org/officeDocument/2006/relationships/hyperlink" Target="KQ-test\TC-22-03.png" TargetMode="External"/><Relationship Id="rId4" Type="http://schemas.openxmlformats.org/officeDocument/2006/relationships/hyperlink" Target="KQ-test\TC-21-05.png" TargetMode="External"/><Relationship Id="rId9" Type="http://schemas.openxmlformats.org/officeDocument/2006/relationships/hyperlink" Target="KQ-test\TC-01-02.png" TargetMode="External"/><Relationship Id="rId14" Type="http://schemas.openxmlformats.org/officeDocument/2006/relationships/hyperlink" Target="KQ-test\TC-04-02.png" TargetMode="External"/><Relationship Id="rId22" Type="http://schemas.openxmlformats.org/officeDocument/2006/relationships/hyperlink" Target="KQ-test\TC-04-09.png" TargetMode="External"/><Relationship Id="rId27" Type="http://schemas.openxmlformats.org/officeDocument/2006/relationships/hyperlink" Target="KQ-test\TC-21-08.png" TargetMode="External"/><Relationship Id="rId30" Type="http://schemas.openxmlformats.org/officeDocument/2006/relationships/hyperlink" Target="KQ-test\TC-22-02.png" TargetMode="External"/><Relationship Id="rId35" Type="http://schemas.openxmlformats.org/officeDocument/2006/relationships/hyperlink" Target="KQ-test\TC-22-08.png" TargetMode="External"/><Relationship Id="rId8" Type="http://schemas.openxmlformats.org/officeDocument/2006/relationships/hyperlink" Target="KQ-test\TC-01-01.png" TargetMode="External"/><Relationship Id="rId3" Type="http://schemas.openxmlformats.org/officeDocument/2006/relationships/hyperlink" Target="KQ-test\TC-21-03.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89"/>
  <sheetViews>
    <sheetView tabSelected="1" zoomScale="85" zoomScaleNormal="70" workbookViewId="0">
      <pane xSplit="3" ySplit="1" topLeftCell="J79" activePane="bottomRight" state="frozen"/>
      <selection pane="topRight" activeCell="D1" sqref="D1"/>
      <selection pane="bottomLeft" activeCell="A3" sqref="A3"/>
      <selection pane="bottomRight" activeCell="M79" sqref="M79"/>
    </sheetView>
  </sheetViews>
  <sheetFormatPr defaultColWidth="8.7109375" defaultRowHeight="15" x14ac:dyDescent="0.2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x14ac:dyDescent="0.25">
      <c r="A1" s="4" t="s">
        <v>22</v>
      </c>
      <c r="B1" s="4" t="s">
        <v>0</v>
      </c>
      <c r="C1" s="4" t="s">
        <v>23</v>
      </c>
      <c r="D1" s="4" t="s">
        <v>24</v>
      </c>
      <c r="E1" s="4" t="s">
        <v>25</v>
      </c>
      <c r="F1" s="4" t="s">
        <v>26</v>
      </c>
      <c r="G1" s="4" t="s">
        <v>27</v>
      </c>
      <c r="H1" s="4" t="s">
        <v>28</v>
      </c>
      <c r="I1" s="4" t="s">
        <v>29</v>
      </c>
      <c r="J1" s="4" t="s">
        <v>30</v>
      </c>
      <c r="K1" s="8" t="s">
        <v>31</v>
      </c>
      <c r="L1" s="8" t="s">
        <v>32</v>
      </c>
      <c r="M1" s="8" t="s">
        <v>33</v>
      </c>
      <c r="N1" s="4" t="s">
        <v>34</v>
      </c>
    </row>
    <row r="2" spans="1:14" ht="89.25" x14ac:dyDescent="0.25">
      <c r="A2" s="5" t="s">
        <v>120</v>
      </c>
      <c r="B2" s="6" t="s">
        <v>5</v>
      </c>
      <c r="C2" s="1" t="s">
        <v>121</v>
      </c>
      <c r="D2" s="1" t="s">
        <v>37</v>
      </c>
      <c r="E2" s="1" t="s">
        <v>38</v>
      </c>
      <c r="F2" s="1" t="s">
        <v>122</v>
      </c>
      <c r="G2" s="6" t="s">
        <v>40</v>
      </c>
      <c r="H2" s="1" t="s">
        <v>123</v>
      </c>
      <c r="I2" s="1" t="s">
        <v>124</v>
      </c>
      <c r="J2" s="1" t="s">
        <v>125</v>
      </c>
      <c r="K2" s="1" t="s">
        <v>125</v>
      </c>
      <c r="L2" s="6" t="s">
        <v>459</v>
      </c>
      <c r="M2" s="14" t="s">
        <v>474</v>
      </c>
      <c r="N2" s="1"/>
    </row>
    <row r="3" spans="1:14" ht="38.25" x14ac:dyDescent="0.25">
      <c r="A3" s="5" t="s">
        <v>126</v>
      </c>
      <c r="B3" s="6" t="s">
        <v>5</v>
      </c>
      <c r="C3" s="1" t="s">
        <v>127</v>
      </c>
      <c r="D3" s="1" t="s">
        <v>74</v>
      </c>
      <c r="E3" s="1" t="s">
        <v>128</v>
      </c>
      <c r="F3" s="1" t="s">
        <v>129</v>
      </c>
      <c r="G3" s="6" t="s">
        <v>40</v>
      </c>
      <c r="H3" s="1" t="s">
        <v>123</v>
      </c>
      <c r="I3" s="1" t="s">
        <v>130</v>
      </c>
      <c r="J3" s="1" t="s">
        <v>131</v>
      </c>
      <c r="K3" s="1" t="s">
        <v>131</v>
      </c>
      <c r="L3" s="6" t="s">
        <v>459</v>
      </c>
      <c r="M3" s="14" t="s">
        <v>475</v>
      </c>
      <c r="N3" s="1"/>
    </row>
    <row r="4" spans="1:14" ht="38.25" x14ac:dyDescent="0.25">
      <c r="A4" s="5" t="s">
        <v>132</v>
      </c>
      <c r="B4" s="6" t="s">
        <v>5</v>
      </c>
      <c r="C4" s="1" t="s">
        <v>133</v>
      </c>
      <c r="D4" s="1" t="s">
        <v>74</v>
      </c>
      <c r="E4" s="1" t="s">
        <v>134</v>
      </c>
      <c r="F4" s="1" t="s">
        <v>129</v>
      </c>
      <c r="G4" s="6" t="s">
        <v>40</v>
      </c>
      <c r="H4" s="1" t="s">
        <v>123</v>
      </c>
      <c r="I4" s="1" t="s">
        <v>135</v>
      </c>
      <c r="J4" s="1" t="s">
        <v>136</v>
      </c>
      <c r="K4" s="1" t="s">
        <v>136</v>
      </c>
      <c r="L4" s="6" t="s">
        <v>459</v>
      </c>
      <c r="M4" s="14" t="s">
        <v>476</v>
      </c>
      <c r="N4" s="1"/>
    </row>
    <row r="5" spans="1:14" ht="51" x14ac:dyDescent="0.25">
      <c r="A5" s="5" t="s">
        <v>137</v>
      </c>
      <c r="B5" s="6" t="s">
        <v>5</v>
      </c>
      <c r="C5" s="1" t="s">
        <v>138</v>
      </c>
      <c r="D5" s="1" t="s">
        <v>54</v>
      </c>
      <c r="E5" s="1" t="s">
        <v>139</v>
      </c>
      <c r="F5" s="1" t="s">
        <v>140</v>
      </c>
      <c r="G5" s="6" t="s">
        <v>40</v>
      </c>
      <c r="H5" s="1" t="s">
        <v>123</v>
      </c>
      <c r="I5" s="1" t="s">
        <v>141</v>
      </c>
      <c r="J5" s="1" t="s">
        <v>142</v>
      </c>
      <c r="K5" s="1" t="s">
        <v>477</v>
      </c>
      <c r="L5" s="6" t="s">
        <v>459</v>
      </c>
      <c r="M5" s="1"/>
      <c r="N5" s="1"/>
    </row>
    <row r="6" spans="1:14" ht="51" x14ac:dyDescent="0.25">
      <c r="A6" s="5" t="s">
        <v>143</v>
      </c>
      <c r="B6" s="6" t="s">
        <v>5</v>
      </c>
      <c r="C6" s="1" t="s">
        <v>144</v>
      </c>
      <c r="D6" s="1" t="s">
        <v>54</v>
      </c>
      <c r="E6" s="1" t="s">
        <v>145</v>
      </c>
      <c r="F6" s="1" t="s">
        <v>140</v>
      </c>
      <c r="G6" s="6" t="s">
        <v>40</v>
      </c>
      <c r="H6" s="1" t="s">
        <v>123</v>
      </c>
      <c r="I6" s="1" t="s">
        <v>146</v>
      </c>
      <c r="J6" s="1" t="s">
        <v>147</v>
      </c>
      <c r="K6" s="1" t="s">
        <v>477</v>
      </c>
      <c r="L6" s="6" t="s">
        <v>459</v>
      </c>
      <c r="M6" s="1"/>
      <c r="N6" s="1"/>
    </row>
    <row r="7" spans="1:14" ht="51" x14ac:dyDescent="0.25">
      <c r="A7" s="5" t="s">
        <v>148</v>
      </c>
      <c r="B7" s="6" t="s">
        <v>5</v>
      </c>
      <c r="C7" s="1" t="s">
        <v>149</v>
      </c>
      <c r="D7" s="1" t="s">
        <v>74</v>
      </c>
      <c r="E7" s="1" t="s">
        <v>150</v>
      </c>
      <c r="F7" s="1" t="s">
        <v>151</v>
      </c>
      <c r="G7" s="6" t="s">
        <v>40</v>
      </c>
      <c r="H7" s="1" t="s">
        <v>123</v>
      </c>
      <c r="I7" s="1" t="s">
        <v>152</v>
      </c>
      <c r="J7" s="1" t="s">
        <v>153</v>
      </c>
      <c r="K7" s="1" t="s">
        <v>478</v>
      </c>
      <c r="L7" s="6" t="s">
        <v>459</v>
      </c>
      <c r="M7" s="1"/>
      <c r="N7" s="1"/>
    </row>
    <row r="8" spans="1:14" ht="51" x14ac:dyDescent="0.25">
      <c r="A8" s="5" t="s">
        <v>154</v>
      </c>
      <c r="B8" s="6" t="s">
        <v>5</v>
      </c>
      <c r="C8" s="1" t="s">
        <v>155</v>
      </c>
      <c r="D8" s="1" t="s">
        <v>20</v>
      </c>
      <c r="E8" s="1" t="s">
        <v>156</v>
      </c>
      <c r="F8" s="1" t="s">
        <v>157</v>
      </c>
      <c r="G8" s="6" t="s">
        <v>40</v>
      </c>
      <c r="H8" s="1" t="s">
        <v>158</v>
      </c>
      <c r="I8" s="1" t="s">
        <v>159</v>
      </c>
      <c r="J8" s="1" t="s">
        <v>160</v>
      </c>
      <c r="K8" s="1" t="s">
        <v>479</v>
      </c>
      <c r="L8" s="6" t="s">
        <v>459</v>
      </c>
      <c r="M8" s="14" t="s">
        <v>480</v>
      </c>
      <c r="N8" s="1" t="s">
        <v>161</v>
      </c>
    </row>
    <row r="9" spans="1:14" ht="38.25" x14ac:dyDescent="0.25">
      <c r="A9" s="5" t="s">
        <v>162</v>
      </c>
      <c r="B9" s="6" t="s">
        <v>5</v>
      </c>
      <c r="C9" s="1" t="s">
        <v>163</v>
      </c>
      <c r="D9" s="1" t="s">
        <v>20</v>
      </c>
      <c r="E9" s="1" t="s">
        <v>164</v>
      </c>
      <c r="F9" s="1" t="s">
        <v>157</v>
      </c>
      <c r="G9" s="6" t="s">
        <v>40</v>
      </c>
      <c r="H9" s="1" t="s">
        <v>165</v>
      </c>
      <c r="I9" s="1" t="s">
        <v>166</v>
      </c>
      <c r="J9" s="1" t="s">
        <v>167</v>
      </c>
      <c r="K9" s="1" t="s">
        <v>481</v>
      </c>
      <c r="L9" s="6" t="s">
        <v>459</v>
      </c>
      <c r="M9" s="14" t="s">
        <v>482</v>
      </c>
      <c r="N9" s="1"/>
    </row>
    <row r="10" spans="1:14" ht="51" x14ac:dyDescent="0.25">
      <c r="A10" s="5" t="s">
        <v>168</v>
      </c>
      <c r="B10" s="6" t="s">
        <v>5</v>
      </c>
      <c r="C10" s="1" t="s">
        <v>169</v>
      </c>
      <c r="D10" s="1" t="s">
        <v>20</v>
      </c>
      <c r="E10" s="1" t="s">
        <v>170</v>
      </c>
      <c r="F10" s="1" t="s">
        <v>171</v>
      </c>
      <c r="G10" s="6" t="s">
        <v>63</v>
      </c>
      <c r="H10" s="1" t="s">
        <v>172</v>
      </c>
      <c r="I10" s="1" t="s">
        <v>173</v>
      </c>
      <c r="J10" s="1" t="s">
        <v>174</v>
      </c>
      <c r="K10" s="1" t="s">
        <v>498</v>
      </c>
      <c r="L10" s="6" t="s">
        <v>459</v>
      </c>
      <c r="M10" s="1"/>
      <c r="N10" s="1" t="s">
        <v>175</v>
      </c>
    </row>
    <row r="11" spans="1:14" ht="38.25" x14ac:dyDescent="0.25">
      <c r="A11" s="5" t="s">
        <v>500</v>
      </c>
      <c r="B11" s="6" t="s">
        <v>5</v>
      </c>
      <c r="C11" s="1" t="s">
        <v>176</v>
      </c>
      <c r="D11" s="1" t="s">
        <v>54</v>
      </c>
      <c r="E11" s="1" t="s">
        <v>177</v>
      </c>
      <c r="F11" s="1" t="s">
        <v>178</v>
      </c>
      <c r="G11" s="6" t="s">
        <v>91</v>
      </c>
      <c r="H11" s="1" t="s">
        <v>123</v>
      </c>
      <c r="I11" s="1" t="s">
        <v>179</v>
      </c>
      <c r="J11" s="1" t="s">
        <v>180</v>
      </c>
      <c r="K11" s="1" t="s">
        <v>499</v>
      </c>
      <c r="L11" s="6" t="s">
        <v>459</v>
      </c>
      <c r="M11" s="14" t="s">
        <v>501</v>
      </c>
      <c r="N11" s="1"/>
    </row>
    <row r="12" spans="1:14" ht="102" x14ac:dyDescent="0.25">
      <c r="A12" s="5" t="s">
        <v>181</v>
      </c>
      <c r="B12" s="6" t="s">
        <v>7</v>
      </c>
      <c r="C12" s="1" t="s">
        <v>182</v>
      </c>
      <c r="D12" s="1" t="s">
        <v>37</v>
      </c>
      <c r="E12" s="1" t="s">
        <v>38</v>
      </c>
      <c r="F12" s="1" t="s">
        <v>183</v>
      </c>
      <c r="G12" s="6" t="s">
        <v>40</v>
      </c>
      <c r="H12" s="1" t="s">
        <v>184</v>
      </c>
      <c r="I12" s="1" t="s">
        <v>185</v>
      </c>
      <c r="J12" s="1" t="s">
        <v>186</v>
      </c>
      <c r="K12" s="1" t="s">
        <v>186</v>
      </c>
      <c r="L12" s="6" t="s">
        <v>483</v>
      </c>
      <c r="M12" s="14" t="s">
        <v>484</v>
      </c>
      <c r="N12" s="1"/>
    </row>
    <row r="13" spans="1:14" ht="89.25" x14ac:dyDescent="0.25">
      <c r="A13" s="5" t="s">
        <v>187</v>
      </c>
      <c r="B13" s="6" t="s">
        <v>7</v>
      </c>
      <c r="C13" s="1" t="s">
        <v>188</v>
      </c>
      <c r="D13" s="1" t="s">
        <v>37</v>
      </c>
      <c r="E13" s="1" t="s">
        <v>38</v>
      </c>
      <c r="F13" s="1" t="s">
        <v>189</v>
      </c>
      <c r="G13" s="6" t="s">
        <v>40</v>
      </c>
      <c r="H13" s="1" t="s">
        <v>190</v>
      </c>
      <c r="I13" s="1" t="s">
        <v>191</v>
      </c>
      <c r="J13" s="1" t="s">
        <v>192</v>
      </c>
      <c r="K13" s="1" t="s">
        <v>485</v>
      </c>
      <c r="L13" s="6" t="s">
        <v>459</v>
      </c>
      <c r="M13" s="14" t="s">
        <v>486</v>
      </c>
      <c r="N13" s="1"/>
    </row>
    <row r="14" spans="1:14" ht="89.25" x14ac:dyDescent="0.25">
      <c r="A14" s="5" t="s">
        <v>193</v>
      </c>
      <c r="B14" s="6" t="s">
        <v>7</v>
      </c>
      <c r="C14" s="1" t="s">
        <v>194</v>
      </c>
      <c r="D14" s="1" t="s">
        <v>37</v>
      </c>
      <c r="E14" s="1" t="s">
        <v>38</v>
      </c>
      <c r="F14" s="1" t="s">
        <v>195</v>
      </c>
      <c r="G14" s="6" t="s">
        <v>40</v>
      </c>
      <c r="H14" s="1" t="s">
        <v>190</v>
      </c>
      <c r="I14" s="1" t="s">
        <v>196</v>
      </c>
      <c r="J14" s="1" t="s">
        <v>197</v>
      </c>
      <c r="K14" s="1" t="s">
        <v>197</v>
      </c>
      <c r="L14" s="6" t="s">
        <v>459</v>
      </c>
      <c r="M14" s="14" t="s">
        <v>487</v>
      </c>
      <c r="N14" s="1"/>
    </row>
    <row r="15" spans="1:14" ht="89.25" x14ac:dyDescent="0.25">
      <c r="A15" s="5" t="s">
        <v>198</v>
      </c>
      <c r="B15" s="6" t="s">
        <v>7</v>
      </c>
      <c r="C15" s="1" t="s">
        <v>199</v>
      </c>
      <c r="D15" s="1" t="s">
        <v>74</v>
      </c>
      <c r="E15" s="1" t="s">
        <v>128</v>
      </c>
      <c r="F15" s="1" t="s">
        <v>200</v>
      </c>
      <c r="G15" s="6" t="s">
        <v>40</v>
      </c>
      <c r="H15" s="1" t="s">
        <v>190</v>
      </c>
      <c r="I15" s="1" t="s">
        <v>201</v>
      </c>
      <c r="J15" s="1" t="s">
        <v>202</v>
      </c>
      <c r="K15" s="1" t="s">
        <v>202</v>
      </c>
      <c r="L15" s="6" t="s">
        <v>459</v>
      </c>
      <c r="M15" s="1"/>
      <c r="N15" s="1"/>
    </row>
    <row r="16" spans="1:14" ht="89.25" x14ac:dyDescent="0.25">
      <c r="A16" s="5" t="s">
        <v>203</v>
      </c>
      <c r="B16" s="6" t="s">
        <v>7</v>
      </c>
      <c r="C16" s="1" t="s">
        <v>204</v>
      </c>
      <c r="D16" s="1" t="s">
        <v>74</v>
      </c>
      <c r="E16" s="1" t="s">
        <v>134</v>
      </c>
      <c r="F16" s="1" t="s">
        <v>200</v>
      </c>
      <c r="G16" s="6" t="s">
        <v>40</v>
      </c>
      <c r="H16" s="1" t="s">
        <v>190</v>
      </c>
      <c r="I16" s="1" t="s">
        <v>205</v>
      </c>
      <c r="J16" s="1" t="s">
        <v>206</v>
      </c>
      <c r="K16" s="1" t="s">
        <v>206</v>
      </c>
      <c r="L16" s="6" t="s">
        <v>459</v>
      </c>
      <c r="M16" s="1"/>
      <c r="N16" s="1"/>
    </row>
    <row r="17" spans="1:14" ht="89.25" x14ac:dyDescent="0.25">
      <c r="A17" s="5" t="s">
        <v>207</v>
      </c>
      <c r="B17" s="6" t="s">
        <v>7</v>
      </c>
      <c r="C17" s="1" t="s">
        <v>208</v>
      </c>
      <c r="D17" s="1" t="s">
        <v>54</v>
      </c>
      <c r="E17" s="1" t="s">
        <v>139</v>
      </c>
      <c r="F17" s="1" t="s">
        <v>209</v>
      </c>
      <c r="G17" s="6" t="s">
        <v>40</v>
      </c>
      <c r="H17" s="1" t="s">
        <v>190</v>
      </c>
      <c r="I17" s="1" t="s">
        <v>210</v>
      </c>
      <c r="J17" s="1" t="s">
        <v>211</v>
      </c>
      <c r="K17" s="1" t="s">
        <v>488</v>
      </c>
      <c r="L17" s="6" t="s">
        <v>459</v>
      </c>
      <c r="M17" s="1"/>
      <c r="N17" s="1"/>
    </row>
    <row r="18" spans="1:14" ht="89.25" x14ac:dyDescent="0.25">
      <c r="A18" s="5" t="s">
        <v>212</v>
      </c>
      <c r="B18" s="6" t="s">
        <v>7</v>
      </c>
      <c r="C18" s="1" t="s">
        <v>213</v>
      </c>
      <c r="D18" s="1" t="s">
        <v>74</v>
      </c>
      <c r="E18" s="1" t="s">
        <v>150</v>
      </c>
      <c r="F18" s="1" t="s">
        <v>209</v>
      </c>
      <c r="G18" s="6" t="s">
        <v>40</v>
      </c>
      <c r="H18" s="1" t="s">
        <v>190</v>
      </c>
      <c r="I18" s="1" t="s">
        <v>214</v>
      </c>
      <c r="J18" s="1" t="s">
        <v>215</v>
      </c>
      <c r="K18" s="1" t="s">
        <v>489</v>
      </c>
      <c r="L18" s="6" t="s">
        <v>459</v>
      </c>
      <c r="M18" s="1"/>
      <c r="N18" s="1"/>
    </row>
    <row r="19" spans="1:14" ht="102" x14ac:dyDescent="0.25">
      <c r="A19" s="5" t="s">
        <v>216</v>
      </c>
      <c r="B19" s="6" t="s">
        <v>7</v>
      </c>
      <c r="C19" s="1" t="s">
        <v>217</v>
      </c>
      <c r="D19" s="1" t="s">
        <v>20</v>
      </c>
      <c r="E19" s="1" t="s">
        <v>218</v>
      </c>
      <c r="F19" s="1" t="s">
        <v>219</v>
      </c>
      <c r="G19" s="6" t="s">
        <v>40</v>
      </c>
      <c r="H19" s="1" t="s">
        <v>220</v>
      </c>
      <c r="I19" s="1" t="s">
        <v>221</v>
      </c>
      <c r="J19" s="1" t="s">
        <v>222</v>
      </c>
      <c r="K19" s="1" t="s">
        <v>490</v>
      </c>
      <c r="L19" s="6" t="s">
        <v>459</v>
      </c>
      <c r="M19" s="1"/>
      <c r="N19" s="1" t="s">
        <v>223</v>
      </c>
    </row>
    <row r="20" spans="1:14" ht="102" x14ac:dyDescent="0.25">
      <c r="A20" s="5" t="s">
        <v>224</v>
      </c>
      <c r="B20" s="6" t="s">
        <v>7</v>
      </c>
      <c r="C20" s="1" t="s">
        <v>225</v>
      </c>
      <c r="D20" s="1" t="s">
        <v>20</v>
      </c>
      <c r="E20" s="1" t="s">
        <v>218</v>
      </c>
      <c r="F20" s="1" t="s">
        <v>200</v>
      </c>
      <c r="G20" s="6" t="s">
        <v>63</v>
      </c>
      <c r="H20" s="1" t="s">
        <v>220</v>
      </c>
      <c r="I20" s="1" t="s">
        <v>226</v>
      </c>
      <c r="J20" s="1" t="s">
        <v>227</v>
      </c>
      <c r="K20" s="1" t="s">
        <v>504</v>
      </c>
      <c r="L20" s="6" t="s">
        <v>459</v>
      </c>
      <c r="M20" s="14" t="s">
        <v>505</v>
      </c>
      <c r="N20" s="1"/>
    </row>
    <row r="21" spans="1:14" ht="76.5" x14ac:dyDescent="0.25">
      <c r="A21" s="5" t="s">
        <v>228</v>
      </c>
      <c r="B21" s="6" t="s">
        <v>7</v>
      </c>
      <c r="C21" s="1" t="s">
        <v>229</v>
      </c>
      <c r="D21" s="1" t="s">
        <v>20</v>
      </c>
      <c r="E21" s="1" t="s">
        <v>218</v>
      </c>
      <c r="F21" s="1" t="s">
        <v>200</v>
      </c>
      <c r="G21" s="6" t="s">
        <v>63</v>
      </c>
      <c r="H21" s="1" t="s">
        <v>230</v>
      </c>
      <c r="I21" s="1" t="s">
        <v>231</v>
      </c>
      <c r="J21" s="1" t="s">
        <v>232</v>
      </c>
      <c r="K21" s="1" t="s">
        <v>506</v>
      </c>
      <c r="L21" s="6" t="s">
        <v>459</v>
      </c>
      <c r="M21" s="14" t="s">
        <v>507</v>
      </c>
      <c r="N21" s="1"/>
    </row>
    <row r="22" spans="1:14" ht="102" x14ac:dyDescent="0.25">
      <c r="A22" s="5" t="s">
        <v>233</v>
      </c>
      <c r="B22" s="6" t="s">
        <v>7</v>
      </c>
      <c r="C22" s="1" t="s">
        <v>234</v>
      </c>
      <c r="D22" s="1" t="s">
        <v>20</v>
      </c>
      <c r="E22" s="1" t="s">
        <v>156</v>
      </c>
      <c r="F22" s="1" t="s">
        <v>235</v>
      </c>
      <c r="G22" s="6" t="s">
        <v>63</v>
      </c>
      <c r="H22" s="1" t="s">
        <v>236</v>
      </c>
      <c r="I22" s="1" t="s">
        <v>237</v>
      </c>
      <c r="J22" s="1" t="s">
        <v>238</v>
      </c>
      <c r="K22" s="1" t="s">
        <v>508</v>
      </c>
      <c r="L22" s="6" t="s">
        <v>459</v>
      </c>
      <c r="M22" s="14" t="s">
        <v>509</v>
      </c>
      <c r="N22" s="1"/>
    </row>
    <row r="23" spans="1:14" ht="51" x14ac:dyDescent="0.25">
      <c r="A23" s="5" t="s">
        <v>239</v>
      </c>
      <c r="B23" s="6" t="s">
        <v>7</v>
      </c>
      <c r="C23" s="1" t="s">
        <v>240</v>
      </c>
      <c r="D23" s="1" t="s">
        <v>20</v>
      </c>
      <c r="E23" s="1" t="s">
        <v>241</v>
      </c>
      <c r="F23" s="1" t="s">
        <v>242</v>
      </c>
      <c r="G23" s="6" t="s">
        <v>63</v>
      </c>
      <c r="H23" s="1" t="s">
        <v>243</v>
      </c>
      <c r="I23" s="1" t="s">
        <v>244</v>
      </c>
      <c r="J23" s="1" t="s">
        <v>245</v>
      </c>
      <c r="K23" s="1" t="s">
        <v>510</v>
      </c>
      <c r="L23" s="6" t="s">
        <v>459</v>
      </c>
      <c r="M23" s="14" t="s">
        <v>511</v>
      </c>
      <c r="N23" s="1"/>
    </row>
    <row r="24" spans="1:14" ht="25.5" x14ac:dyDescent="0.25">
      <c r="A24" s="5" t="s">
        <v>390</v>
      </c>
      <c r="B24" s="6" t="s">
        <v>18</v>
      </c>
      <c r="C24" s="1" t="s">
        <v>391</v>
      </c>
      <c r="D24" s="1" t="s">
        <v>37</v>
      </c>
      <c r="E24" s="1" t="s">
        <v>306</v>
      </c>
      <c r="F24" s="1" t="s">
        <v>392</v>
      </c>
      <c r="G24" s="6" t="s">
        <v>40</v>
      </c>
      <c r="H24" s="1" t="s">
        <v>393</v>
      </c>
      <c r="I24" s="1" t="s">
        <v>394</v>
      </c>
      <c r="J24" s="1" t="s">
        <v>395</v>
      </c>
      <c r="K24" s="1"/>
      <c r="L24" s="6" t="s">
        <v>44</v>
      </c>
      <c r="M24" s="1"/>
      <c r="N24" s="1"/>
    </row>
    <row r="25" spans="1:14" x14ac:dyDescent="0.25">
      <c r="A25" s="5" t="s">
        <v>396</v>
      </c>
      <c r="B25" s="6" t="s">
        <v>18</v>
      </c>
      <c r="C25" s="1" t="s">
        <v>397</v>
      </c>
      <c r="D25" s="1" t="s">
        <v>54</v>
      </c>
      <c r="E25" s="1" t="s">
        <v>380</v>
      </c>
      <c r="F25" s="1" t="s">
        <v>398</v>
      </c>
      <c r="G25" s="6" t="s">
        <v>40</v>
      </c>
      <c r="H25" s="1" t="s">
        <v>399</v>
      </c>
      <c r="I25" s="1" t="s">
        <v>400</v>
      </c>
      <c r="J25" s="1" t="s">
        <v>401</v>
      </c>
      <c r="K25" s="1"/>
      <c r="L25" s="6" t="s">
        <v>44</v>
      </c>
      <c r="M25" s="1"/>
      <c r="N25" s="1"/>
    </row>
    <row r="26" spans="1:14" ht="25.5" x14ac:dyDescent="0.25">
      <c r="A26" s="5" t="s">
        <v>402</v>
      </c>
      <c r="B26" s="6" t="s">
        <v>18</v>
      </c>
      <c r="C26" s="1" t="s">
        <v>403</v>
      </c>
      <c r="D26" s="1" t="s">
        <v>54</v>
      </c>
      <c r="E26" s="1" t="s">
        <v>306</v>
      </c>
      <c r="F26" s="1" t="s">
        <v>398</v>
      </c>
      <c r="G26" s="6" t="s">
        <v>40</v>
      </c>
      <c r="H26" s="1" t="s">
        <v>404</v>
      </c>
      <c r="I26" s="1" t="s">
        <v>405</v>
      </c>
      <c r="J26" s="1" t="s">
        <v>406</v>
      </c>
      <c r="K26" s="1"/>
      <c r="L26" s="6" t="s">
        <v>44</v>
      </c>
      <c r="M26" s="1"/>
      <c r="N26" s="1"/>
    </row>
    <row r="27" spans="1:14" ht="25.5" x14ac:dyDescent="0.25">
      <c r="A27" s="5" t="s">
        <v>407</v>
      </c>
      <c r="B27" s="6" t="s">
        <v>18</v>
      </c>
      <c r="C27" s="1" t="s">
        <v>408</v>
      </c>
      <c r="D27" s="1" t="s">
        <v>20</v>
      </c>
      <c r="E27" s="1" t="s">
        <v>306</v>
      </c>
      <c r="F27" s="1" t="s">
        <v>409</v>
      </c>
      <c r="G27" s="6" t="s">
        <v>63</v>
      </c>
      <c r="H27" s="1" t="s">
        <v>410</v>
      </c>
      <c r="I27" s="1" t="s">
        <v>411</v>
      </c>
      <c r="J27" s="1" t="s">
        <v>412</v>
      </c>
      <c r="K27" s="1"/>
      <c r="L27" s="6" t="s">
        <v>44</v>
      </c>
      <c r="M27" s="1"/>
      <c r="N27" s="1"/>
    </row>
    <row r="28" spans="1:14" ht="25.5" x14ac:dyDescent="0.25">
      <c r="A28" s="5" t="s">
        <v>413</v>
      </c>
      <c r="B28" s="6" t="s">
        <v>18</v>
      </c>
      <c r="C28" s="1" t="s">
        <v>414</v>
      </c>
      <c r="D28" s="1" t="s">
        <v>74</v>
      </c>
      <c r="E28" s="1" t="s">
        <v>369</v>
      </c>
      <c r="F28" s="1" t="s">
        <v>415</v>
      </c>
      <c r="G28" s="6" t="s">
        <v>91</v>
      </c>
      <c r="H28" s="1" t="s">
        <v>416</v>
      </c>
      <c r="I28" s="1" t="s">
        <v>417</v>
      </c>
      <c r="J28" s="1" t="s">
        <v>418</v>
      </c>
      <c r="K28" s="1"/>
      <c r="L28" s="6" t="s">
        <v>44</v>
      </c>
      <c r="M28" s="1"/>
      <c r="N28" s="1"/>
    </row>
    <row r="29" spans="1:14" ht="25.5" x14ac:dyDescent="0.25">
      <c r="A29" s="5" t="s">
        <v>419</v>
      </c>
      <c r="B29" s="6" t="s">
        <v>18</v>
      </c>
      <c r="C29" s="1" t="s">
        <v>420</v>
      </c>
      <c r="D29" s="1" t="s">
        <v>37</v>
      </c>
      <c r="E29" s="1" t="s">
        <v>306</v>
      </c>
      <c r="F29" s="1" t="s">
        <v>392</v>
      </c>
      <c r="G29" s="6" t="s">
        <v>40</v>
      </c>
      <c r="H29" s="1" t="s">
        <v>421</v>
      </c>
      <c r="I29" s="1" t="s">
        <v>315</v>
      </c>
      <c r="J29" s="1" t="s">
        <v>422</v>
      </c>
      <c r="K29" s="1"/>
      <c r="L29" s="6" t="s">
        <v>44</v>
      </c>
      <c r="M29" s="1"/>
      <c r="N29" s="1"/>
    </row>
    <row r="30" spans="1:14" ht="76.5" x14ac:dyDescent="0.25">
      <c r="A30" s="5" t="s">
        <v>246</v>
      </c>
      <c r="B30" s="6" t="s">
        <v>9</v>
      </c>
      <c r="C30" s="1" t="s">
        <v>247</v>
      </c>
      <c r="D30" s="1" t="s">
        <v>37</v>
      </c>
      <c r="E30" s="1" t="s">
        <v>38</v>
      </c>
      <c r="F30" s="1" t="s">
        <v>248</v>
      </c>
      <c r="G30" s="6" t="s">
        <v>40</v>
      </c>
      <c r="H30" s="1" t="s">
        <v>249</v>
      </c>
      <c r="I30" s="1" t="s">
        <v>250</v>
      </c>
      <c r="J30" s="1" t="s">
        <v>251</v>
      </c>
      <c r="K30" s="1" t="s">
        <v>251</v>
      </c>
      <c r="L30" s="6" t="s">
        <v>459</v>
      </c>
      <c r="M30" s="14" t="s">
        <v>491</v>
      </c>
      <c r="N30" s="1" t="s">
        <v>252</v>
      </c>
    </row>
    <row r="31" spans="1:14" ht="51" x14ac:dyDescent="0.25">
      <c r="A31" s="5" t="s">
        <v>253</v>
      </c>
      <c r="B31" s="6" t="s">
        <v>9</v>
      </c>
      <c r="C31" s="1" t="s">
        <v>254</v>
      </c>
      <c r="D31" s="1" t="s">
        <v>74</v>
      </c>
      <c r="E31" s="1" t="s">
        <v>255</v>
      </c>
      <c r="F31" s="1" t="s">
        <v>256</v>
      </c>
      <c r="G31" s="6" t="s">
        <v>40</v>
      </c>
      <c r="H31" s="1" t="s">
        <v>493</v>
      </c>
      <c r="I31" s="1" t="s">
        <v>492</v>
      </c>
      <c r="J31" s="1" t="s">
        <v>257</v>
      </c>
      <c r="K31" s="1" t="s">
        <v>257</v>
      </c>
      <c r="L31" s="6" t="s">
        <v>459</v>
      </c>
      <c r="M31" s="14" t="s">
        <v>494</v>
      </c>
      <c r="N31" s="1" t="s">
        <v>252</v>
      </c>
    </row>
    <row r="32" spans="1:14" ht="51" x14ac:dyDescent="0.25">
      <c r="A32" s="5" t="s">
        <v>258</v>
      </c>
      <c r="B32" s="6" t="s">
        <v>9</v>
      </c>
      <c r="C32" s="1" t="s">
        <v>259</v>
      </c>
      <c r="D32" s="1" t="s">
        <v>74</v>
      </c>
      <c r="E32" s="1" t="s">
        <v>260</v>
      </c>
      <c r="F32" s="1" t="s">
        <v>261</v>
      </c>
      <c r="G32" s="6" t="s">
        <v>40</v>
      </c>
      <c r="H32" s="1" t="s">
        <v>249</v>
      </c>
      <c r="I32" s="1" t="s">
        <v>262</v>
      </c>
      <c r="J32" s="1" t="s">
        <v>263</v>
      </c>
      <c r="K32" s="1" t="s">
        <v>263</v>
      </c>
      <c r="L32" s="6" t="s">
        <v>459</v>
      </c>
      <c r="M32" s="14" t="s">
        <v>495</v>
      </c>
      <c r="N32" s="1"/>
    </row>
    <row r="33" spans="1:14" ht="51" x14ac:dyDescent="0.25">
      <c r="A33" s="5" t="s">
        <v>264</v>
      </c>
      <c r="B33" s="6" t="s">
        <v>9</v>
      </c>
      <c r="C33" s="1" t="s">
        <v>265</v>
      </c>
      <c r="D33" s="1" t="s">
        <v>54</v>
      </c>
      <c r="E33" s="1" t="s">
        <v>266</v>
      </c>
      <c r="F33" s="1" t="s">
        <v>267</v>
      </c>
      <c r="G33" s="6" t="s">
        <v>63</v>
      </c>
      <c r="H33" s="1" t="s">
        <v>249</v>
      </c>
      <c r="I33" s="1" t="s">
        <v>268</v>
      </c>
      <c r="J33" s="1" t="s">
        <v>269</v>
      </c>
      <c r="K33" s="1"/>
      <c r="L33" s="6" t="s">
        <v>44</v>
      </c>
      <c r="M33" s="1"/>
      <c r="N33" s="1" t="s">
        <v>270</v>
      </c>
    </row>
    <row r="34" spans="1:14" ht="51" x14ac:dyDescent="0.25">
      <c r="A34" s="5" t="s">
        <v>271</v>
      </c>
      <c r="B34" s="6" t="s">
        <v>9</v>
      </c>
      <c r="C34" s="1" t="s">
        <v>272</v>
      </c>
      <c r="D34" s="1" t="s">
        <v>54</v>
      </c>
      <c r="E34" s="1" t="s">
        <v>273</v>
      </c>
      <c r="F34" s="1" t="s">
        <v>274</v>
      </c>
      <c r="G34" s="6" t="s">
        <v>63</v>
      </c>
      <c r="H34" s="1" t="s">
        <v>249</v>
      </c>
      <c r="I34" s="1" t="s">
        <v>275</v>
      </c>
      <c r="J34" s="1" t="s">
        <v>276</v>
      </c>
      <c r="K34" s="1"/>
      <c r="L34" s="6" t="s">
        <v>44</v>
      </c>
      <c r="M34" s="1"/>
      <c r="N34" s="1"/>
    </row>
    <row r="35" spans="1:14" ht="63.75" x14ac:dyDescent="0.25">
      <c r="A35" s="5" t="s">
        <v>277</v>
      </c>
      <c r="B35" s="6" t="s">
        <v>9</v>
      </c>
      <c r="C35" s="1" t="s">
        <v>278</v>
      </c>
      <c r="D35" s="1" t="s">
        <v>37</v>
      </c>
      <c r="E35" s="1" t="s">
        <v>279</v>
      </c>
      <c r="F35" s="1" t="s">
        <v>280</v>
      </c>
      <c r="G35" s="6" t="s">
        <v>40</v>
      </c>
      <c r="H35" s="1" t="s">
        <v>249</v>
      </c>
      <c r="I35" s="1" t="s">
        <v>281</v>
      </c>
      <c r="J35" s="1" t="s">
        <v>282</v>
      </c>
      <c r="K35" s="1" t="s">
        <v>282</v>
      </c>
      <c r="L35" s="6" t="s">
        <v>459</v>
      </c>
      <c r="M35" s="14" t="s">
        <v>496</v>
      </c>
      <c r="N35" s="1" t="s">
        <v>283</v>
      </c>
    </row>
    <row r="36" spans="1:14" ht="51" x14ac:dyDescent="0.25">
      <c r="A36" s="5" t="s">
        <v>284</v>
      </c>
      <c r="B36" s="6" t="s">
        <v>9</v>
      </c>
      <c r="C36" s="1" t="s">
        <v>285</v>
      </c>
      <c r="D36" s="1" t="s">
        <v>20</v>
      </c>
      <c r="E36" s="1" t="s">
        <v>241</v>
      </c>
      <c r="F36" s="1" t="s">
        <v>286</v>
      </c>
      <c r="G36" s="6" t="s">
        <v>40</v>
      </c>
      <c r="H36" s="1" t="s">
        <v>287</v>
      </c>
      <c r="I36" s="1" t="s">
        <v>288</v>
      </c>
      <c r="J36" s="1" t="s">
        <v>289</v>
      </c>
      <c r="K36" s="1" t="s">
        <v>497</v>
      </c>
      <c r="L36" s="6" t="s">
        <v>459</v>
      </c>
      <c r="M36" s="14" t="s">
        <v>503</v>
      </c>
      <c r="N36" s="1"/>
    </row>
    <row r="37" spans="1:14" ht="76.5" x14ac:dyDescent="0.25">
      <c r="A37" s="5" t="s">
        <v>502</v>
      </c>
      <c r="B37" s="6" t="s">
        <v>9</v>
      </c>
      <c r="C37" s="1" t="s">
        <v>290</v>
      </c>
      <c r="D37" s="1" t="s">
        <v>20</v>
      </c>
      <c r="E37" s="1" t="s">
        <v>291</v>
      </c>
      <c r="F37" s="1" t="s">
        <v>292</v>
      </c>
      <c r="G37" s="6" t="s">
        <v>40</v>
      </c>
      <c r="H37" s="1" t="s">
        <v>293</v>
      </c>
      <c r="I37" s="1" t="s">
        <v>294</v>
      </c>
      <c r="J37" s="1" t="s">
        <v>295</v>
      </c>
      <c r="K37" s="1"/>
      <c r="L37" s="6" t="s">
        <v>44</v>
      </c>
      <c r="M37" s="1"/>
      <c r="N37" s="1" t="s">
        <v>296</v>
      </c>
    </row>
    <row r="38" spans="1:14" ht="63.75" x14ac:dyDescent="0.25">
      <c r="A38" s="5" t="s">
        <v>21</v>
      </c>
      <c r="B38" s="6" t="s">
        <v>9</v>
      </c>
      <c r="C38" s="1" t="s">
        <v>297</v>
      </c>
      <c r="D38" s="1" t="s">
        <v>298</v>
      </c>
      <c r="E38" s="1" t="s">
        <v>299</v>
      </c>
      <c r="F38" s="1" t="s">
        <v>300</v>
      </c>
      <c r="G38" s="6" t="s">
        <v>63</v>
      </c>
      <c r="H38" s="1" t="s">
        <v>249</v>
      </c>
      <c r="I38" s="1" t="s">
        <v>301</v>
      </c>
      <c r="J38" s="1" t="s">
        <v>302</v>
      </c>
      <c r="K38" s="1"/>
      <c r="L38" s="6" t="s">
        <v>44</v>
      </c>
      <c r="M38" s="1"/>
      <c r="N38" s="1" t="s">
        <v>303</v>
      </c>
    </row>
    <row r="39" spans="1:14" ht="25.5" x14ac:dyDescent="0.25">
      <c r="A39" s="5" t="s">
        <v>304</v>
      </c>
      <c r="B39" s="6" t="s">
        <v>11</v>
      </c>
      <c r="C39" s="1" t="s">
        <v>305</v>
      </c>
      <c r="D39" s="1" t="s">
        <v>37</v>
      </c>
      <c r="E39" s="1" t="s">
        <v>306</v>
      </c>
      <c r="F39" s="1" t="s">
        <v>307</v>
      </c>
      <c r="G39" s="6" t="s">
        <v>40</v>
      </c>
      <c r="H39" s="1" t="s">
        <v>308</v>
      </c>
      <c r="I39" s="1" t="s">
        <v>309</v>
      </c>
      <c r="J39" s="1" t="s">
        <v>310</v>
      </c>
      <c r="K39" s="1"/>
      <c r="L39" s="6" t="s">
        <v>44</v>
      </c>
      <c r="M39" s="1"/>
      <c r="N39" s="1"/>
    </row>
    <row r="40" spans="1:14" ht="25.5" x14ac:dyDescent="0.25">
      <c r="A40" s="5" t="s">
        <v>311</v>
      </c>
      <c r="B40" s="6" t="s">
        <v>11</v>
      </c>
      <c r="C40" s="1" t="s">
        <v>312</v>
      </c>
      <c r="D40" s="1" t="s">
        <v>20</v>
      </c>
      <c r="E40" s="1" t="s">
        <v>306</v>
      </c>
      <c r="F40" s="1" t="s">
        <v>313</v>
      </c>
      <c r="G40" s="6" t="s">
        <v>91</v>
      </c>
      <c r="H40" s="1" t="s">
        <v>314</v>
      </c>
      <c r="I40" s="1" t="s">
        <v>315</v>
      </c>
      <c r="J40" s="1" t="s">
        <v>316</v>
      </c>
      <c r="K40" s="1"/>
      <c r="L40" s="6" t="s">
        <v>44</v>
      </c>
      <c r="M40" s="1"/>
      <c r="N40" s="1"/>
    </row>
    <row r="41" spans="1:14" ht="25.5" x14ac:dyDescent="0.25">
      <c r="A41" s="5" t="s">
        <v>317</v>
      </c>
      <c r="B41" s="6" t="s">
        <v>11</v>
      </c>
      <c r="C41" s="1" t="s">
        <v>318</v>
      </c>
      <c r="D41" s="1" t="s">
        <v>37</v>
      </c>
      <c r="E41" s="1" t="s">
        <v>306</v>
      </c>
      <c r="F41" s="1" t="s">
        <v>307</v>
      </c>
      <c r="G41" s="6" t="s">
        <v>63</v>
      </c>
      <c r="H41" s="1" t="s">
        <v>319</v>
      </c>
      <c r="I41" s="1" t="s">
        <v>320</v>
      </c>
      <c r="J41" s="1" t="s">
        <v>321</v>
      </c>
      <c r="K41" s="1"/>
      <c r="L41" s="6" t="s">
        <v>44</v>
      </c>
      <c r="M41" s="1"/>
      <c r="N41" s="1"/>
    </row>
    <row r="42" spans="1:14" ht="25.5" x14ac:dyDescent="0.25">
      <c r="A42" s="5" t="s">
        <v>322</v>
      </c>
      <c r="B42" s="6" t="s">
        <v>11</v>
      </c>
      <c r="C42" s="1" t="s">
        <v>323</v>
      </c>
      <c r="D42" s="1" t="s">
        <v>37</v>
      </c>
      <c r="E42" s="1" t="s">
        <v>306</v>
      </c>
      <c r="F42" s="1" t="s">
        <v>324</v>
      </c>
      <c r="G42" s="6" t="s">
        <v>40</v>
      </c>
      <c r="H42" s="1" t="s">
        <v>325</v>
      </c>
      <c r="I42" s="1" t="s">
        <v>315</v>
      </c>
      <c r="J42" s="1" t="s">
        <v>326</v>
      </c>
      <c r="K42" s="1"/>
      <c r="L42" s="6" t="s">
        <v>44</v>
      </c>
      <c r="M42" s="1"/>
      <c r="N42" s="1"/>
    </row>
    <row r="43" spans="1:14" x14ac:dyDescent="0.25">
      <c r="A43" s="5" t="s">
        <v>327</v>
      </c>
      <c r="B43" s="6" t="s">
        <v>11</v>
      </c>
      <c r="C43" s="1" t="s">
        <v>328</v>
      </c>
      <c r="D43" s="1" t="s">
        <v>54</v>
      </c>
      <c r="E43" s="1" t="s">
        <v>329</v>
      </c>
      <c r="F43" s="1" t="s">
        <v>330</v>
      </c>
      <c r="G43" s="6" t="s">
        <v>40</v>
      </c>
      <c r="H43" s="1" t="s">
        <v>331</v>
      </c>
      <c r="I43" s="1" t="s">
        <v>332</v>
      </c>
      <c r="J43" s="1" t="s">
        <v>333</v>
      </c>
      <c r="K43" s="1"/>
      <c r="L43" s="6" t="s">
        <v>44</v>
      </c>
      <c r="M43" s="1"/>
      <c r="N43" s="1"/>
    </row>
    <row r="44" spans="1:14" ht="25.5" x14ac:dyDescent="0.25">
      <c r="A44" s="5" t="s">
        <v>334</v>
      </c>
      <c r="B44" s="6" t="s">
        <v>14</v>
      </c>
      <c r="C44" s="1" t="s">
        <v>335</v>
      </c>
      <c r="D44" s="1" t="s">
        <v>37</v>
      </c>
      <c r="E44" s="1" t="s">
        <v>306</v>
      </c>
      <c r="F44" s="1" t="s">
        <v>336</v>
      </c>
      <c r="G44" s="6" t="s">
        <v>40</v>
      </c>
      <c r="H44" s="1" t="s">
        <v>337</v>
      </c>
      <c r="I44" s="1" t="s">
        <v>315</v>
      </c>
      <c r="J44" s="1" t="s">
        <v>338</v>
      </c>
      <c r="K44" s="1"/>
      <c r="L44" s="6" t="s">
        <v>44</v>
      </c>
      <c r="M44" s="1"/>
      <c r="N44" s="1"/>
    </row>
    <row r="45" spans="1:14" ht="25.5" x14ac:dyDescent="0.25">
      <c r="A45" s="5" t="s">
        <v>339</v>
      </c>
      <c r="B45" s="6" t="s">
        <v>14</v>
      </c>
      <c r="C45" s="1" t="s">
        <v>340</v>
      </c>
      <c r="D45" s="1" t="s">
        <v>37</v>
      </c>
      <c r="E45" s="1" t="s">
        <v>306</v>
      </c>
      <c r="F45" s="1" t="s">
        <v>336</v>
      </c>
      <c r="G45" s="6" t="s">
        <v>40</v>
      </c>
      <c r="H45" s="1" t="s">
        <v>341</v>
      </c>
      <c r="I45" s="1" t="s">
        <v>315</v>
      </c>
      <c r="J45" s="1" t="s">
        <v>342</v>
      </c>
      <c r="K45" s="1"/>
      <c r="L45" s="6" t="s">
        <v>44</v>
      </c>
      <c r="M45" s="1"/>
      <c r="N45" s="1"/>
    </row>
    <row r="46" spans="1:14" ht="25.5" x14ac:dyDescent="0.25">
      <c r="A46" s="5" t="s">
        <v>343</v>
      </c>
      <c r="B46" s="6" t="s">
        <v>14</v>
      </c>
      <c r="C46" s="1" t="s">
        <v>344</v>
      </c>
      <c r="D46" s="1" t="s">
        <v>54</v>
      </c>
      <c r="E46" s="1" t="s">
        <v>306</v>
      </c>
      <c r="F46" s="1" t="s">
        <v>345</v>
      </c>
      <c r="G46" s="6" t="s">
        <v>40</v>
      </c>
      <c r="H46" s="1" t="s">
        <v>346</v>
      </c>
      <c r="I46" s="1" t="s">
        <v>315</v>
      </c>
      <c r="J46" s="1" t="s">
        <v>347</v>
      </c>
      <c r="K46" s="1"/>
      <c r="L46" s="6" t="s">
        <v>44</v>
      </c>
      <c r="M46" s="1"/>
      <c r="N46" s="1"/>
    </row>
    <row r="47" spans="1:14" x14ac:dyDescent="0.25">
      <c r="A47" s="5" t="s">
        <v>348</v>
      </c>
      <c r="B47" s="6" t="s">
        <v>14</v>
      </c>
      <c r="C47" s="1" t="s">
        <v>349</v>
      </c>
      <c r="D47" s="1" t="s">
        <v>54</v>
      </c>
      <c r="E47" s="1" t="s">
        <v>306</v>
      </c>
      <c r="F47" s="1" t="s">
        <v>345</v>
      </c>
      <c r="G47" s="6" t="s">
        <v>40</v>
      </c>
      <c r="H47" s="1" t="s">
        <v>350</v>
      </c>
      <c r="I47" s="1" t="s">
        <v>315</v>
      </c>
      <c r="J47" s="1" t="s">
        <v>351</v>
      </c>
      <c r="K47" s="1"/>
      <c r="L47" s="6" t="s">
        <v>44</v>
      </c>
      <c r="M47" s="1"/>
      <c r="N47" s="1" t="s">
        <v>352</v>
      </c>
    </row>
    <row r="48" spans="1:14" x14ac:dyDescent="0.25">
      <c r="A48" s="5" t="s">
        <v>353</v>
      </c>
      <c r="B48" s="6" t="s">
        <v>14</v>
      </c>
      <c r="C48" s="1" t="s">
        <v>354</v>
      </c>
      <c r="D48" s="1" t="s">
        <v>54</v>
      </c>
      <c r="E48" s="1" t="s">
        <v>306</v>
      </c>
      <c r="F48" s="1" t="s">
        <v>345</v>
      </c>
      <c r="G48" s="6" t="s">
        <v>63</v>
      </c>
      <c r="H48" s="1" t="s">
        <v>355</v>
      </c>
      <c r="I48" s="1" t="s">
        <v>315</v>
      </c>
      <c r="J48" s="1" t="s">
        <v>356</v>
      </c>
      <c r="K48" s="1"/>
      <c r="L48" s="6" t="s">
        <v>44</v>
      </c>
      <c r="M48" s="1"/>
      <c r="N48" s="1"/>
    </row>
    <row r="49" spans="1:14" ht="25.5" x14ac:dyDescent="0.25">
      <c r="A49" s="5" t="s">
        <v>357</v>
      </c>
      <c r="B49" s="6" t="s">
        <v>14</v>
      </c>
      <c r="C49" s="1" t="s">
        <v>358</v>
      </c>
      <c r="D49" s="1" t="s">
        <v>20</v>
      </c>
      <c r="E49" s="1" t="s">
        <v>306</v>
      </c>
      <c r="F49" s="1" t="s">
        <v>359</v>
      </c>
      <c r="G49" s="6" t="s">
        <v>63</v>
      </c>
      <c r="H49" s="1" t="s">
        <v>360</v>
      </c>
      <c r="I49" s="1" t="s">
        <v>315</v>
      </c>
      <c r="J49" s="1" t="s">
        <v>361</v>
      </c>
      <c r="K49" s="1"/>
      <c r="L49" s="6" t="s">
        <v>44</v>
      </c>
      <c r="M49" s="1"/>
      <c r="N49" s="1"/>
    </row>
    <row r="50" spans="1:14" ht="25.5" x14ac:dyDescent="0.25">
      <c r="A50" s="5" t="s">
        <v>362</v>
      </c>
      <c r="B50" s="6" t="s">
        <v>16</v>
      </c>
      <c r="C50" s="1" t="s">
        <v>363</v>
      </c>
      <c r="D50" s="1" t="s">
        <v>37</v>
      </c>
      <c r="E50" s="1" t="s">
        <v>306</v>
      </c>
      <c r="F50" s="1" t="s">
        <v>364</v>
      </c>
      <c r="G50" s="6" t="s">
        <v>40</v>
      </c>
      <c r="H50" s="1" t="s">
        <v>308</v>
      </c>
      <c r="I50" s="1" t="s">
        <v>365</v>
      </c>
      <c r="J50" s="1" t="s">
        <v>366</v>
      </c>
      <c r="K50" s="1"/>
      <c r="L50" s="6" t="s">
        <v>44</v>
      </c>
      <c r="M50" s="1"/>
      <c r="N50" s="1"/>
    </row>
    <row r="51" spans="1:14" ht="25.5" x14ac:dyDescent="0.25">
      <c r="A51" s="5" t="s">
        <v>367</v>
      </c>
      <c r="B51" s="6" t="s">
        <v>16</v>
      </c>
      <c r="C51" s="1" t="s">
        <v>368</v>
      </c>
      <c r="D51" s="1" t="s">
        <v>74</v>
      </c>
      <c r="E51" s="1" t="s">
        <v>369</v>
      </c>
      <c r="F51" s="1" t="s">
        <v>364</v>
      </c>
      <c r="G51" s="6" t="s">
        <v>40</v>
      </c>
      <c r="H51" s="1" t="s">
        <v>308</v>
      </c>
      <c r="I51" s="1" t="s">
        <v>370</v>
      </c>
      <c r="J51" s="1" t="s">
        <v>371</v>
      </c>
      <c r="K51" s="1"/>
      <c r="L51" s="6" t="s">
        <v>44</v>
      </c>
      <c r="M51" s="1"/>
      <c r="N51" s="1" t="s">
        <v>372</v>
      </c>
    </row>
    <row r="52" spans="1:14" ht="38.25" x14ac:dyDescent="0.25">
      <c r="A52" s="5" t="s">
        <v>373</v>
      </c>
      <c r="B52" s="6" t="s">
        <v>16</v>
      </c>
      <c r="C52" s="1" t="s">
        <v>374</v>
      </c>
      <c r="D52" s="1" t="s">
        <v>54</v>
      </c>
      <c r="E52" s="1" t="s">
        <v>369</v>
      </c>
      <c r="F52" s="1" t="s">
        <v>375</v>
      </c>
      <c r="G52" s="6" t="s">
        <v>40</v>
      </c>
      <c r="H52" s="1" t="s">
        <v>308</v>
      </c>
      <c r="I52" s="1" t="s">
        <v>376</v>
      </c>
      <c r="J52" s="1" t="s">
        <v>377</v>
      </c>
      <c r="K52" s="1"/>
      <c r="L52" s="6" t="s">
        <v>44</v>
      </c>
      <c r="M52" s="1"/>
      <c r="N52" s="1"/>
    </row>
    <row r="53" spans="1:14" ht="25.5" x14ac:dyDescent="0.25">
      <c r="A53" s="5" t="s">
        <v>378</v>
      </c>
      <c r="B53" s="6" t="s">
        <v>16</v>
      </c>
      <c r="C53" s="1" t="s">
        <v>379</v>
      </c>
      <c r="D53" s="1" t="s">
        <v>54</v>
      </c>
      <c r="E53" s="1" t="s">
        <v>380</v>
      </c>
      <c r="F53" s="1" t="s">
        <v>375</v>
      </c>
      <c r="G53" s="6" t="s">
        <v>63</v>
      </c>
      <c r="H53" s="1" t="s">
        <v>308</v>
      </c>
      <c r="I53" s="1" t="s">
        <v>381</v>
      </c>
      <c r="J53" s="1" t="s">
        <v>382</v>
      </c>
      <c r="K53" s="1"/>
      <c r="L53" s="6" t="s">
        <v>44</v>
      </c>
      <c r="M53" s="1"/>
      <c r="N53" s="1"/>
    </row>
    <row r="54" spans="1:14" ht="25.5" x14ac:dyDescent="0.25">
      <c r="A54" s="5" t="s">
        <v>383</v>
      </c>
      <c r="B54" s="6" t="s">
        <v>16</v>
      </c>
      <c r="C54" s="1" t="s">
        <v>384</v>
      </c>
      <c r="D54" s="1" t="s">
        <v>20</v>
      </c>
      <c r="E54" s="1" t="s">
        <v>306</v>
      </c>
      <c r="F54" s="1" t="s">
        <v>385</v>
      </c>
      <c r="G54" s="6" t="s">
        <v>40</v>
      </c>
      <c r="H54" s="1" t="s">
        <v>386</v>
      </c>
      <c r="I54" s="1" t="s">
        <v>387</v>
      </c>
      <c r="J54" s="1" t="s">
        <v>388</v>
      </c>
      <c r="K54" s="1"/>
      <c r="L54" s="6" t="s">
        <v>44</v>
      </c>
      <c r="M54" s="1"/>
      <c r="N54" s="1" t="s">
        <v>389</v>
      </c>
    </row>
    <row r="55" spans="1:14" ht="51" x14ac:dyDescent="0.25">
      <c r="A55" s="5" t="s">
        <v>35</v>
      </c>
      <c r="B55" s="6" t="s">
        <v>2</v>
      </c>
      <c r="C55" s="1" t="s">
        <v>36</v>
      </c>
      <c r="D55" s="1" t="s">
        <v>37</v>
      </c>
      <c r="E55" s="1" t="s">
        <v>38</v>
      </c>
      <c r="F55" s="1" t="s">
        <v>39</v>
      </c>
      <c r="G55" s="6" t="s">
        <v>40</v>
      </c>
      <c r="H55" s="1" t="s">
        <v>41</v>
      </c>
      <c r="I55" s="1" t="s">
        <v>42</v>
      </c>
      <c r="J55" s="1" t="s">
        <v>43</v>
      </c>
      <c r="K55" s="1" t="s">
        <v>458</v>
      </c>
      <c r="L55" s="6" t="s">
        <v>459</v>
      </c>
      <c r="M55" s="14" t="s">
        <v>460</v>
      </c>
      <c r="N55" s="1"/>
    </row>
    <row r="56" spans="1:14" ht="38.25" x14ac:dyDescent="0.25">
      <c r="A56" s="5" t="s">
        <v>45</v>
      </c>
      <c r="B56" s="6" t="s">
        <v>2</v>
      </c>
      <c r="C56" s="1" t="s">
        <v>46</v>
      </c>
      <c r="D56" s="1" t="s">
        <v>37</v>
      </c>
      <c r="E56" s="1" t="s">
        <v>38</v>
      </c>
      <c r="F56" s="1" t="s">
        <v>47</v>
      </c>
      <c r="G56" s="6" t="s">
        <v>40</v>
      </c>
      <c r="H56" s="1" t="s">
        <v>48</v>
      </c>
      <c r="I56" s="1" t="s">
        <v>49</v>
      </c>
      <c r="J56" s="1" t="s">
        <v>50</v>
      </c>
      <c r="K56" s="1" t="s">
        <v>461</v>
      </c>
      <c r="L56" s="6" t="s">
        <v>459</v>
      </c>
      <c r="M56" s="14" t="s">
        <v>462</v>
      </c>
      <c r="N56" s="1" t="s">
        <v>51</v>
      </c>
    </row>
    <row r="57" spans="1:14" ht="51" x14ac:dyDescent="0.25">
      <c r="A57" s="5" t="s">
        <v>52</v>
      </c>
      <c r="B57" s="6" t="s">
        <v>2</v>
      </c>
      <c r="C57" s="1" t="s">
        <v>53</v>
      </c>
      <c r="D57" s="1" t="s">
        <v>54</v>
      </c>
      <c r="E57" s="1" t="s">
        <v>55</v>
      </c>
      <c r="F57" s="1" t="s">
        <v>56</v>
      </c>
      <c r="G57" s="6" t="s">
        <v>40</v>
      </c>
      <c r="H57" s="1" t="s">
        <v>57</v>
      </c>
      <c r="I57" s="1" t="s">
        <v>58</v>
      </c>
      <c r="J57" s="1" t="s">
        <v>59</v>
      </c>
      <c r="K57" s="1" t="s">
        <v>464</v>
      </c>
      <c r="L57" s="6" t="s">
        <v>459</v>
      </c>
      <c r="M57" s="14" t="s">
        <v>463</v>
      </c>
      <c r="N57" s="1"/>
    </row>
    <row r="58" spans="1:14" ht="38.25" x14ac:dyDescent="0.25">
      <c r="A58" s="5" t="s">
        <v>60</v>
      </c>
      <c r="B58" s="6" t="s">
        <v>2</v>
      </c>
      <c r="C58" s="1" t="s">
        <v>61</v>
      </c>
      <c r="D58" s="1" t="s">
        <v>54</v>
      </c>
      <c r="E58" s="1" t="s">
        <v>62</v>
      </c>
      <c r="F58" s="1" t="s">
        <v>56</v>
      </c>
      <c r="G58" s="6" t="s">
        <v>63</v>
      </c>
      <c r="H58" s="1" t="s">
        <v>48</v>
      </c>
      <c r="I58" s="1" t="s">
        <v>64</v>
      </c>
      <c r="J58" s="1" t="s">
        <v>65</v>
      </c>
      <c r="K58" s="1" t="s">
        <v>65</v>
      </c>
      <c r="L58" s="6" t="s">
        <v>459</v>
      </c>
      <c r="M58" s="14" t="s">
        <v>512</v>
      </c>
      <c r="N58" s="1"/>
    </row>
    <row r="59" spans="1:14" ht="51" x14ac:dyDescent="0.25">
      <c r="A59" s="5" t="s">
        <v>66</v>
      </c>
      <c r="B59" s="6" t="s">
        <v>2</v>
      </c>
      <c r="C59" s="1" t="s">
        <v>67</v>
      </c>
      <c r="D59" s="1" t="s">
        <v>54</v>
      </c>
      <c r="E59" s="1" t="s">
        <v>68</v>
      </c>
      <c r="F59" s="1" t="s">
        <v>69</v>
      </c>
      <c r="G59" s="6" t="s">
        <v>40</v>
      </c>
      <c r="H59" s="1" t="s">
        <v>48</v>
      </c>
      <c r="I59" s="1" t="s">
        <v>70</v>
      </c>
      <c r="J59" s="1" t="s">
        <v>465</v>
      </c>
      <c r="K59" s="1" t="s">
        <v>467</v>
      </c>
      <c r="L59" s="6" t="s">
        <v>459</v>
      </c>
      <c r="M59" s="14" t="s">
        <v>466</v>
      </c>
      <c r="N59" s="1" t="s">
        <v>71</v>
      </c>
    </row>
    <row r="60" spans="1:14" ht="38.25" x14ac:dyDescent="0.25">
      <c r="A60" s="5" t="s">
        <v>72</v>
      </c>
      <c r="B60" s="6" t="s">
        <v>2</v>
      </c>
      <c r="C60" s="1" t="s">
        <v>73</v>
      </c>
      <c r="D60" s="1" t="s">
        <v>74</v>
      </c>
      <c r="E60" s="1" t="s">
        <v>75</v>
      </c>
      <c r="F60" s="1" t="s">
        <v>76</v>
      </c>
      <c r="G60" s="6" t="s">
        <v>40</v>
      </c>
      <c r="H60" s="1" t="s">
        <v>57</v>
      </c>
      <c r="I60" s="1" t="s">
        <v>77</v>
      </c>
      <c r="J60" s="1" t="s">
        <v>78</v>
      </c>
      <c r="K60" s="1" t="s">
        <v>469</v>
      </c>
      <c r="L60" s="6" t="s">
        <v>459</v>
      </c>
      <c r="M60" s="14" t="s">
        <v>468</v>
      </c>
      <c r="N60" s="1" t="s">
        <v>79</v>
      </c>
    </row>
    <row r="61" spans="1:14" ht="63.75" x14ac:dyDescent="0.25">
      <c r="A61" s="5" t="s">
        <v>80</v>
      </c>
      <c r="B61" s="6" t="s">
        <v>2</v>
      </c>
      <c r="C61" s="1" t="s">
        <v>81</v>
      </c>
      <c r="D61" s="1" t="s">
        <v>74</v>
      </c>
      <c r="E61" s="1" t="s">
        <v>82</v>
      </c>
      <c r="F61" s="1" t="s">
        <v>83</v>
      </c>
      <c r="G61" s="6" t="s">
        <v>40</v>
      </c>
      <c r="H61" s="1" t="s">
        <v>57</v>
      </c>
      <c r="I61" s="1" t="s">
        <v>84</v>
      </c>
      <c r="J61" s="1" t="s">
        <v>85</v>
      </c>
      <c r="K61" s="1" t="s">
        <v>470</v>
      </c>
      <c r="L61" s="6" t="s">
        <v>459</v>
      </c>
      <c r="M61" s="14" t="s">
        <v>471</v>
      </c>
      <c r="N61" s="1" t="s">
        <v>86</v>
      </c>
    </row>
    <row r="62" spans="1:14" ht="38.25" x14ac:dyDescent="0.25">
      <c r="A62" s="5" t="s">
        <v>87</v>
      </c>
      <c r="B62" s="6" t="s">
        <v>2</v>
      </c>
      <c r="C62" s="1" t="s">
        <v>88</v>
      </c>
      <c r="D62" s="1" t="s">
        <v>20</v>
      </c>
      <c r="E62" s="1" t="s">
        <v>89</v>
      </c>
      <c r="F62" s="1" t="s">
        <v>90</v>
      </c>
      <c r="G62" s="6" t="s">
        <v>91</v>
      </c>
      <c r="H62" s="1" t="s">
        <v>92</v>
      </c>
      <c r="I62" s="1" t="s">
        <v>93</v>
      </c>
      <c r="J62" s="1" t="s">
        <v>94</v>
      </c>
      <c r="K62" s="1" t="s">
        <v>94</v>
      </c>
      <c r="L62" s="6" t="s">
        <v>459</v>
      </c>
      <c r="M62" s="14" t="s">
        <v>513</v>
      </c>
      <c r="N62" s="1" t="s">
        <v>95</v>
      </c>
    </row>
    <row r="63" spans="1:14" ht="51" x14ac:dyDescent="0.25">
      <c r="A63" s="5" t="s">
        <v>96</v>
      </c>
      <c r="B63" s="6" t="s">
        <v>2</v>
      </c>
      <c r="C63" s="1" t="s">
        <v>97</v>
      </c>
      <c r="D63" s="1" t="s">
        <v>20</v>
      </c>
      <c r="E63" s="1" t="s">
        <v>98</v>
      </c>
      <c r="F63" s="1" t="s">
        <v>99</v>
      </c>
      <c r="G63" s="6" t="s">
        <v>40</v>
      </c>
      <c r="H63" s="1" t="s">
        <v>100</v>
      </c>
      <c r="I63" s="1" t="s">
        <v>101</v>
      </c>
      <c r="J63" s="1" t="s">
        <v>102</v>
      </c>
      <c r="K63" s="1" t="s">
        <v>472</v>
      </c>
      <c r="L63" s="6" t="s">
        <v>459</v>
      </c>
      <c r="M63" s="14" t="s">
        <v>473</v>
      </c>
      <c r="N63" s="1" t="s">
        <v>103</v>
      </c>
    </row>
    <row r="64" spans="1:14" ht="51" x14ac:dyDescent="0.25">
      <c r="A64" s="5" t="s">
        <v>104</v>
      </c>
      <c r="B64" s="6" t="s">
        <v>2</v>
      </c>
      <c r="C64" s="1" t="s">
        <v>105</v>
      </c>
      <c r="D64" s="1" t="s">
        <v>54</v>
      </c>
      <c r="E64" s="1" t="s">
        <v>106</v>
      </c>
      <c r="F64" s="1" t="s">
        <v>107</v>
      </c>
      <c r="G64" s="6" t="s">
        <v>91</v>
      </c>
      <c r="H64" s="1" t="s">
        <v>108</v>
      </c>
      <c r="I64" s="1" t="s">
        <v>109</v>
      </c>
      <c r="J64" s="1" t="s">
        <v>110</v>
      </c>
      <c r="K64" s="1" t="s">
        <v>514</v>
      </c>
      <c r="L64" s="6" t="s">
        <v>459</v>
      </c>
      <c r="M64" s="14" t="s">
        <v>515</v>
      </c>
      <c r="N64" s="1" t="s">
        <v>111</v>
      </c>
    </row>
    <row r="65" spans="1:14" ht="90.75" customHeight="1" x14ac:dyDescent="0.25">
      <c r="A65" s="5" t="s">
        <v>112</v>
      </c>
      <c r="B65" s="6" t="s">
        <v>2</v>
      </c>
      <c r="C65" s="1" t="s">
        <v>113</v>
      </c>
      <c r="D65" s="1" t="s">
        <v>54</v>
      </c>
      <c r="E65" s="1" t="s">
        <v>114</v>
      </c>
      <c r="F65" s="1" t="s">
        <v>115</v>
      </c>
      <c r="G65" s="6" t="s">
        <v>63</v>
      </c>
      <c r="H65" s="1" t="s">
        <v>116</v>
      </c>
      <c r="I65" s="1" t="s">
        <v>117</v>
      </c>
      <c r="J65" s="1" t="s">
        <v>118</v>
      </c>
      <c r="K65" s="1" t="s">
        <v>517</v>
      </c>
      <c r="L65" s="6" t="s">
        <v>459</v>
      </c>
      <c r="M65" s="14" t="s">
        <v>516</v>
      </c>
      <c r="N65" s="1" t="s">
        <v>119</v>
      </c>
    </row>
    <row r="66" spans="1:14" ht="51" x14ac:dyDescent="0.25">
      <c r="A66" s="15" t="s">
        <v>520</v>
      </c>
      <c r="B66" s="15" t="s">
        <v>518</v>
      </c>
      <c r="C66" s="16" t="s">
        <v>521</v>
      </c>
      <c r="D66" s="16" t="s">
        <v>37</v>
      </c>
      <c r="E66" s="16" t="s">
        <v>38</v>
      </c>
      <c r="F66" s="16" t="s">
        <v>522</v>
      </c>
      <c r="G66" s="15" t="s">
        <v>40</v>
      </c>
      <c r="H66" s="16" t="s">
        <v>523</v>
      </c>
      <c r="I66" s="16" t="s">
        <v>524</v>
      </c>
      <c r="J66" s="16" t="s">
        <v>525</v>
      </c>
      <c r="K66" s="16" t="s">
        <v>526</v>
      </c>
      <c r="L66" s="15" t="s">
        <v>459</v>
      </c>
      <c r="M66" s="16"/>
      <c r="N66" s="16" t="s">
        <v>527</v>
      </c>
    </row>
    <row r="67" spans="1:14" ht="76.5" x14ac:dyDescent="0.25">
      <c r="A67" s="15" t="s">
        <v>528</v>
      </c>
      <c r="B67" s="15" t="s">
        <v>518</v>
      </c>
      <c r="C67" s="16" t="s">
        <v>529</v>
      </c>
      <c r="D67" s="16" t="s">
        <v>37</v>
      </c>
      <c r="E67" s="16" t="s">
        <v>38</v>
      </c>
      <c r="F67" s="16" t="s">
        <v>530</v>
      </c>
      <c r="G67" s="15" t="s">
        <v>40</v>
      </c>
      <c r="H67" s="16" t="s">
        <v>531</v>
      </c>
      <c r="I67" s="16" t="s">
        <v>532</v>
      </c>
      <c r="J67" s="16" t="s">
        <v>533</v>
      </c>
      <c r="K67" s="16" t="s">
        <v>529</v>
      </c>
      <c r="L67" s="15" t="s">
        <v>459</v>
      </c>
      <c r="M67" s="14" t="s">
        <v>673</v>
      </c>
      <c r="N67" s="16"/>
    </row>
    <row r="68" spans="1:14" ht="63.75" x14ac:dyDescent="0.25">
      <c r="A68" s="15" t="s">
        <v>534</v>
      </c>
      <c r="B68" s="15" t="s">
        <v>518</v>
      </c>
      <c r="C68" s="16" t="s">
        <v>535</v>
      </c>
      <c r="D68" s="16" t="s">
        <v>54</v>
      </c>
      <c r="E68" s="16" t="s">
        <v>536</v>
      </c>
      <c r="F68" s="16" t="s">
        <v>537</v>
      </c>
      <c r="G68" s="15" t="s">
        <v>40</v>
      </c>
      <c r="H68" s="16" t="s">
        <v>538</v>
      </c>
      <c r="I68" s="16" t="s">
        <v>539</v>
      </c>
      <c r="J68" s="16" t="s">
        <v>540</v>
      </c>
      <c r="K68" s="16" t="s">
        <v>540</v>
      </c>
      <c r="L68" s="15" t="s">
        <v>459</v>
      </c>
      <c r="M68" s="14" t="s">
        <v>674</v>
      </c>
      <c r="N68" s="16"/>
    </row>
    <row r="69" spans="1:14" ht="63.75" x14ac:dyDescent="0.25">
      <c r="A69" s="15" t="s">
        <v>541</v>
      </c>
      <c r="B69" s="15" t="s">
        <v>518</v>
      </c>
      <c r="C69" s="16" t="s">
        <v>542</v>
      </c>
      <c r="D69" s="16" t="s">
        <v>74</v>
      </c>
      <c r="E69" s="16" t="s">
        <v>543</v>
      </c>
      <c r="F69" s="16" t="s">
        <v>544</v>
      </c>
      <c r="G69" s="15" t="s">
        <v>63</v>
      </c>
      <c r="H69" s="16" t="s">
        <v>538</v>
      </c>
      <c r="I69" s="16" t="s">
        <v>545</v>
      </c>
      <c r="J69" s="16" t="s">
        <v>546</v>
      </c>
      <c r="K69" s="16" t="s">
        <v>681</v>
      </c>
      <c r="L69" s="15" t="s">
        <v>459</v>
      </c>
      <c r="M69" s="14" t="s">
        <v>682</v>
      </c>
      <c r="N69" s="16"/>
    </row>
    <row r="70" spans="1:14" ht="51" x14ac:dyDescent="0.25">
      <c r="A70" s="15" t="s">
        <v>547</v>
      </c>
      <c r="B70" s="15" t="s">
        <v>518</v>
      </c>
      <c r="C70" s="16" t="s">
        <v>548</v>
      </c>
      <c r="D70" s="16" t="s">
        <v>20</v>
      </c>
      <c r="E70" s="16" t="s">
        <v>549</v>
      </c>
      <c r="F70" s="16" t="s">
        <v>550</v>
      </c>
      <c r="G70" s="15" t="s">
        <v>40</v>
      </c>
      <c r="H70" s="16" t="s">
        <v>551</v>
      </c>
      <c r="I70" s="16" t="s">
        <v>552</v>
      </c>
      <c r="J70" s="16" t="s">
        <v>553</v>
      </c>
      <c r="K70" s="16" t="s">
        <v>553</v>
      </c>
      <c r="L70" s="15" t="s">
        <v>459</v>
      </c>
      <c r="M70" s="14" t="s">
        <v>683</v>
      </c>
      <c r="N70" s="16"/>
    </row>
    <row r="71" spans="1:14" ht="51" x14ac:dyDescent="0.25">
      <c r="A71" s="15" t="s">
        <v>554</v>
      </c>
      <c r="B71" s="15" t="s">
        <v>518</v>
      </c>
      <c r="C71" s="16" t="s">
        <v>555</v>
      </c>
      <c r="D71" s="16" t="s">
        <v>74</v>
      </c>
      <c r="E71" s="16" t="s">
        <v>556</v>
      </c>
      <c r="F71" s="16" t="s">
        <v>557</v>
      </c>
      <c r="G71" s="15" t="s">
        <v>40</v>
      </c>
      <c r="H71" s="16" t="s">
        <v>538</v>
      </c>
      <c r="I71" s="16" t="s">
        <v>558</v>
      </c>
      <c r="J71" s="16" t="s">
        <v>559</v>
      </c>
      <c r="K71" s="16" t="s">
        <v>559</v>
      </c>
      <c r="L71" s="15" t="s">
        <v>459</v>
      </c>
      <c r="M71" s="14" t="s">
        <v>684</v>
      </c>
      <c r="N71" s="16"/>
    </row>
    <row r="72" spans="1:14" ht="89.25" x14ac:dyDescent="0.25">
      <c r="A72" s="15" t="s">
        <v>560</v>
      </c>
      <c r="B72" s="15" t="s">
        <v>518</v>
      </c>
      <c r="C72" s="16" t="s">
        <v>561</v>
      </c>
      <c r="D72" s="16" t="s">
        <v>54</v>
      </c>
      <c r="E72" s="16" t="s">
        <v>562</v>
      </c>
      <c r="F72" s="16" t="s">
        <v>563</v>
      </c>
      <c r="G72" s="15" t="s">
        <v>40</v>
      </c>
      <c r="H72" s="16" t="s">
        <v>538</v>
      </c>
      <c r="I72" s="16" t="s">
        <v>564</v>
      </c>
      <c r="J72" s="16" t="s">
        <v>565</v>
      </c>
      <c r="K72" s="16" t="s">
        <v>565</v>
      </c>
      <c r="L72" s="15" t="s">
        <v>459</v>
      </c>
      <c r="M72" s="16"/>
      <c r="N72" s="16"/>
    </row>
    <row r="73" spans="1:14" ht="38.25" x14ac:dyDescent="0.25">
      <c r="A73" s="15" t="s">
        <v>566</v>
      </c>
      <c r="B73" s="15" t="s">
        <v>518</v>
      </c>
      <c r="C73" s="16" t="s">
        <v>567</v>
      </c>
      <c r="D73" s="16" t="s">
        <v>20</v>
      </c>
      <c r="E73" s="16" t="s">
        <v>568</v>
      </c>
      <c r="F73" s="16" t="s">
        <v>569</v>
      </c>
      <c r="G73" s="15" t="s">
        <v>40</v>
      </c>
      <c r="H73" s="16" t="s">
        <v>570</v>
      </c>
      <c r="I73" s="16" t="s">
        <v>571</v>
      </c>
      <c r="J73" s="16" t="s">
        <v>572</v>
      </c>
      <c r="K73" s="16" t="s">
        <v>572</v>
      </c>
      <c r="L73" s="15" t="s">
        <v>459</v>
      </c>
      <c r="M73" s="14" t="s">
        <v>685</v>
      </c>
      <c r="N73" s="16"/>
    </row>
    <row r="74" spans="1:14" ht="89.25" x14ac:dyDescent="0.25">
      <c r="A74" s="15" t="s">
        <v>573</v>
      </c>
      <c r="B74" s="15" t="s">
        <v>518</v>
      </c>
      <c r="C74" s="16" t="s">
        <v>574</v>
      </c>
      <c r="D74" s="16" t="s">
        <v>20</v>
      </c>
      <c r="E74" s="16" t="s">
        <v>575</v>
      </c>
      <c r="F74" s="16" t="s">
        <v>576</v>
      </c>
      <c r="G74" s="15" t="s">
        <v>40</v>
      </c>
      <c r="H74" s="16" t="s">
        <v>577</v>
      </c>
      <c r="I74" s="16" t="s">
        <v>578</v>
      </c>
      <c r="J74" s="16" t="s">
        <v>579</v>
      </c>
      <c r="K74" s="16" t="s">
        <v>579</v>
      </c>
      <c r="L74" s="15" t="s">
        <v>459</v>
      </c>
      <c r="M74" s="14" t="s">
        <v>686</v>
      </c>
      <c r="N74" s="16"/>
    </row>
    <row r="75" spans="1:14" ht="51" x14ac:dyDescent="0.25">
      <c r="A75" s="15" t="s">
        <v>580</v>
      </c>
      <c r="B75" s="15" t="s">
        <v>518</v>
      </c>
      <c r="C75" s="16" t="s">
        <v>581</v>
      </c>
      <c r="D75" s="16" t="s">
        <v>54</v>
      </c>
      <c r="E75" s="16" t="s">
        <v>582</v>
      </c>
      <c r="F75" s="16" t="s">
        <v>583</v>
      </c>
      <c r="G75" s="15" t="s">
        <v>63</v>
      </c>
      <c r="H75" s="16" t="s">
        <v>584</v>
      </c>
      <c r="I75" s="16" t="s">
        <v>585</v>
      </c>
      <c r="J75" s="16" t="s">
        <v>586</v>
      </c>
      <c r="K75" s="16" t="s">
        <v>586</v>
      </c>
      <c r="L75" s="15" t="s">
        <v>459</v>
      </c>
      <c r="M75" s="14" t="s">
        <v>687</v>
      </c>
      <c r="N75" s="16"/>
    </row>
    <row r="76" spans="1:14" ht="76.5" x14ac:dyDescent="0.25">
      <c r="A76" s="15" t="s">
        <v>587</v>
      </c>
      <c r="B76" s="15" t="s">
        <v>518</v>
      </c>
      <c r="C76" s="16" t="s">
        <v>588</v>
      </c>
      <c r="D76" s="16" t="s">
        <v>54</v>
      </c>
      <c r="E76" s="16" t="s">
        <v>589</v>
      </c>
      <c r="F76" s="16" t="s">
        <v>590</v>
      </c>
      <c r="G76" s="15" t="s">
        <v>63</v>
      </c>
      <c r="H76" s="16" t="s">
        <v>591</v>
      </c>
      <c r="I76" s="16" t="s">
        <v>592</v>
      </c>
      <c r="J76" s="16" t="s">
        <v>593</v>
      </c>
      <c r="K76" s="16" t="s">
        <v>593</v>
      </c>
      <c r="L76" s="15" t="s">
        <v>459</v>
      </c>
      <c r="M76" s="16"/>
      <c r="N76" s="16"/>
    </row>
    <row r="77" spans="1:14" ht="51" x14ac:dyDescent="0.25">
      <c r="A77" s="15" t="s">
        <v>594</v>
      </c>
      <c r="B77" s="15" t="s">
        <v>518</v>
      </c>
      <c r="C77" s="16" t="s">
        <v>595</v>
      </c>
      <c r="D77" s="16" t="s">
        <v>54</v>
      </c>
      <c r="E77" s="16" t="s">
        <v>596</v>
      </c>
      <c r="F77" s="16" t="s">
        <v>597</v>
      </c>
      <c r="G77" s="15" t="s">
        <v>40</v>
      </c>
      <c r="H77" s="16" t="s">
        <v>598</v>
      </c>
      <c r="I77" s="16" t="s">
        <v>599</v>
      </c>
      <c r="J77" s="16" t="s">
        <v>600</v>
      </c>
      <c r="K77" s="16" t="s">
        <v>600</v>
      </c>
      <c r="L77" s="15" t="s">
        <v>459</v>
      </c>
      <c r="M77" s="21" t="s">
        <v>688</v>
      </c>
      <c r="N77" s="16"/>
    </row>
    <row r="78" spans="1:14" ht="51" x14ac:dyDescent="0.25">
      <c r="A78" s="15" t="s">
        <v>601</v>
      </c>
      <c r="B78" s="15" t="s">
        <v>518</v>
      </c>
      <c r="C78" s="16" t="s">
        <v>602</v>
      </c>
      <c r="D78" s="16" t="s">
        <v>54</v>
      </c>
      <c r="E78" s="16" t="s">
        <v>603</v>
      </c>
      <c r="F78" s="16" t="s">
        <v>604</v>
      </c>
      <c r="G78" s="15" t="s">
        <v>40</v>
      </c>
      <c r="H78" s="16" t="s">
        <v>605</v>
      </c>
      <c r="I78" s="16" t="s">
        <v>606</v>
      </c>
      <c r="J78" s="16" t="s">
        <v>607</v>
      </c>
      <c r="K78" s="16" t="s">
        <v>607</v>
      </c>
      <c r="L78" s="15" t="s">
        <v>459</v>
      </c>
      <c r="M78" s="14" t="s">
        <v>689</v>
      </c>
      <c r="N78" s="16"/>
    </row>
    <row r="79" spans="1:14" ht="89.25" x14ac:dyDescent="0.25">
      <c r="A79" s="19" t="s">
        <v>608</v>
      </c>
      <c r="B79" s="17" t="s">
        <v>518</v>
      </c>
      <c r="C79" s="18" t="s">
        <v>675</v>
      </c>
      <c r="D79" s="18" t="s">
        <v>20</v>
      </c>
      <c r="E79" s="18" t="s">
        <v>676</v>
      </c>
      <c r="F79" s="18" t="s">
        <v>677</v>
      </c>
      <c r="G79" s="17" t="s">
        <v>40</v>
      </c>
      <c r="H79" s="18" t="s">
        <v>678</v>
      </c>
      <c r="I79" s="18" t="s">
        <v>679</v>
      </c>
      <c r="J79" s="18" t="s">
        <v>680</v>
      </c>
      <c r="K79" s="24" t="s">
        <v>690</v>
      </c>
      <c r="L79" s="20" t="s">
        <v>691</v>
      </c>
      <c r="M79" s="25" t="s">
        <v>692</v>
      </c>
      <c r="N79" s="18"/>
    </row>
    <row r="80" spans="1:14" ht="76.5" x14ac:dyDescent="0.25">
      <c r="A80" s="15" t="s">
        <v>610</v>
      </c>
      <c r="B80" s="15" t="s">
        <v>519</v>
      </c>
      <c r="C80" s="16" t="s">
        <v>611</v>
      </c>
      <c r="D80" s="16" t="s">
        <v>37</v>
      </c>
      <c r="E80" s="16" t="s">
        <v>38</v>
      </c>
      <c r="F80" s="16" t="s">
        <v>612</v>
      </c>
      <c r="G80" s="15" t="s">
        <v>40</v>
      </c>
      <c r="H80" s="16" t="s">
        <v>613</v>
      </c>
      <c r="I80" s="16" t="s">
        <v>614</v>
      </c>
      <c r="J80" s="16" t="s">
        <v>615</v>
      </c>
      <c r="K80" s="16"/>
      <c r="L80" s="15"/>
      <c r="M80" s="16"/>
      <c r="N80" s="16"/>
    </row>
    <row r="81" spans="1:14" ht="51" x14ac:dyDescent="0.25">
      <c r="A81" s="15" t="s">
        <v>616</v>
      </c>
      <c r="B81" s="15" t="s">
        <v>519</v>
      </c>
      <c r="C81" s="16" t="s">
        <v>617</v>
      </c>
      <c r="D81" s="16" t="s">
        <v>20</v>
      </c>
      <c r="E81" s="16" t="s">
        <v>618</v>
      </c>
      <c r="F81" s="16" t="s">
        <v>619</v>
      </c>
      <c r="G81" s="15" t="s">
        <v>40</v>
      </c>
      <c r="H81" s="16" t="s">
        <v>538</v>
      </c>
      <c r="I81" s="16" t="s">
        <v>620</v>
      </c>
      <c r="J81" s="16" t="s">
        <v>621</v>
      </c>
      <c r="K81" s="16"/>
      <c r="L81" s="15"/>
      <c r="M81" s="16"/>
      <c r="N81" s="16"/>
    </row>
    <row r="82" spans="1:14" ht="38.25" x14ac:dyDescent="0.25">
      <c r="A82" s="15" t="s">
        <v>622</v>
      </c>
      <c r="B82" s="15" t="s">
        <v>519</v>
      </c>
      <c r="C82" s="16" t="s">
        <v>623</v>
      </c>
      <c r="D82" s="16" t="s">
        <v>74</v>
      </c>
      <c r="E82" s="16" t="s">
        <v>624</v>
      </c>
      <c r="F82" s="16" t="s">
        <v>625</v>
      </c>
      <c r="G82" s="15" t="s">
        <v>63</v>
      </c>
      <c r="H82" s="16" t="s">
        <v>626</v>
      </c>
      <c r="I82" s="16" t="s">
        <v>627</v>
      </c>
      <c r="J82" s="16" t="s">
        <v>628</v>
      </c>
      <c r="K82" s="16"/>
      <c r="L82" s="15"/>
      <c r="M82" s="16"/>
      <c r="N82" s="16"/>
    </row>
    <row r="83" spans="1:14" ht="38.25" x14ac:dyDescent="0.25">
      <c r="A83" s="15" t="s">
        <v>629</v>
      </c>
      <c r="B83" s="15" t="s">
        <v>519</v>
      </c>
      <c r="C83" s="16" t="s">
        <v>630</v>
      </c>
      <c r="D83" s="16" t="s">
        <v>20</v>
      </c>
      <c r="E83" s="16" t="s">
        <v>631</v>
      </c>
      <c r="F83" s="16" t="s">
        <v>632</v>
      </c>
      <c r="G83" s="15" t="s">
        <v>40</v>
      </c>
      <c r="H83" s="16" t="s">
        <v>626</v>
      </c>
      <c r="I83" s="16" t="s">
        <v>633</v>
      </c>
      <c r="J83" s="16" t="s">
        <v>634</v>
      </c>
      <c r="K83" s="16"/>
      <c r="L83" s="15"/>
      <c r="M83" s="16"/>
      <c r="N83" s="16"/>
    </row>
    <row r="84" spans="1:14" ht="63.75" x14ac:dyDescent="0.25">
      <c r="A84" s="15" t="s">
        <v>635</v>
      </c>
      <c r="B84" s="15" t="s">
        <v>519</v>
      </c>
      <c r="C84" s="16" t="s">
        <v>636</v>
      </c>
      <c r="D84" s="16" t="s">
        <v>20</v>
      </c>
      <c r="E84" s="16" t="s">
        <v>609</v>
      </c>
      <c r="F84" s="16" t="s">
        <v>637</v>
      </c>
      <c r="G84" s="15" t="s">
        <v>40</v>
      </c>
      <c r="H84" s="16" t="s">
        <v>638</v>
      </c>
      <c r="I84" s="16" t="s">
        <v>639</v>
      </c>
      <c r="J84" s="16" t="s">
        <v>640</v>
      </c>
      <c r="K84" s="16"/>
      <c r="L84" s="15"/>
      <c r="M84" s="16"/>
      <c r="N84" s="16"/>
    </row>
    <row r="85" spans="1:14" ht="102" x14ac:dyDescent="0.25">
      <c r="A85" s="15" t="s">
        <v>641</v>
      </c>
      <c r="B85" s="15" t="s">
        <v>519</v>
      </c>
      <c r="C85" s="16" t="s">
        <v>642</v>
      </c>
      <c r="D85" s="16" t="s">
        <v>54</v>
      </c>
      <c r="E85" s="16" t="s">
        <v>643</v>
      </c>
      <c r="F85" s="16" t="s">
        <v>644</v>
      </c>
      <c r="G85" s="15" t="s">
        <v>40</v>
      </c>
      <c r="H85" s="16" t="s">
        <v>538</v>
      </c>
      <c r="I85" s="16" t="s">
        <v>645</v>
      </c>
      <c r="J85" s="16" t="s">
        <v>646</v>
      </c>
      <c r="K85" s="16"/>
      <c r="L85" s="15"/>
      <c r="M85" s="16"/>
      <c r="N85" s="16"/>
    </row>
    <row r="86" spans="1:14" ht="102" x14ac:dyDescent="0.25">
      <c r="A86" s="15" t="s">
        <v>647</v>
      </c>
      <c r="B86" s="15" t="s">
        <v>519</v>
      </c>
      <c r="C86" s="16" t="s">
        <v>648</v>
      </c>
      <c r="D86" s="16" t="s">
        <v>74</v>
      </c>
      <c r="E86" s="16" t="s">
        <v>649</v>
      </c>
      <c r="F86" s="16" t="s">
        <v>650</v>
      </c>
      <c r="G86" s="15" t="s">
        <v>40</v>
      </c>
      <c r="H86" s="16" t="s">
        <v>538</v>
      </c>
      <c r="I86" s="16" t="s">
        <v>651</v>
      </c>
      <c r="J86" s="16" t="s">
        <v>652</v>
      </c>
      <c r="K86" s="16"/>
      <c r="L86" s="15"/>
      <c r="M86" s="16"/>
      <c r="N86" s="16"/>
    </row>
    <row r="87" spans="1:14" ht="63.75" x14ac:dyDescent="0.25">
      <c r="A87" s="15" t="s">
        <v>653</v>
      </c>
      <c r="B87" s="15" t="s">
        <v>519</v>
      </c>
      <c r="C87" s="16" t="s">
        <v>654</v>
      </c>
      <c r="D87" s="16" t="s">
        <v>54</v>
      </c>
      <c r="E87" s="16" t="s">
        <v>655</v>
      </c>
      <c r="F87" s="16" t="s">
        <v>656</v>
      </c>
      <c r="G87" s="15" t="s">
        <v>40</v>
      </c>
      <c r="H87" s="16" t="s">
        <v>657</v>
      </c>
      <c r="I87" s="16" t="s">
        <v>658</v>
      </c>
      <c r="J87" s="16" t="s">
        <v>659</v>
      </c>
      <c r="K87" s="16"/>
      <c r="L87" s="15"/>
      <c r="M87" s="16"/>
      <c r="N87" s="16"/>
    </row>
    <row r="88" spans="1:14" ht="102" x14ac:dyDescent="0.25">
      <c r="A88" s="15" t="s">
        <v>660</v>
      </c>
      <c r="B88" s="15" t="s">
        <v>519</v>
      </c>
      <c r="C88" s="16" t="s">
        <v>661</v>
      </c>
      <c r="D88" s="16" t="s">
        <v>20</v>
      </c>
      <c r="E88" s="16" t="s">
        <v>568</v>
      </c>
      <c r="F88" s="16" t="s">
        <v>662</v>
      </c>
      <c r="G88" s="15" t="s">
        <v>63</v>
      </c>
      <c r="H88" s="16" t="s">
        <v>663</v>
      </c>
      <c r="I88" s="16" t="s">
        <v>664</v>
      </c>
      <c r="J88" s="16" t="s">
        <v>665</v>
      </c>
      <c r="K88" s="16"/>
      <c r="L88" s="15"/>
      <c r="M88" s="16"/>
      <c r="N88" s="16"/>
    </row>
    <row r="89" spans="1:14" ht="38.25" x14ac:dyDescent="0.25">
      <c r="A89" s="15" t="s">
        <v>666</v>
      </c>
      <c r="B89" s="15" t="s">
        <v>519</v>
      </c>
      <c r="C89" s="16" t="s">
        <v>667</v>
      </c>
      <c r="D89" s="16" t="s">
        <v>54</v>
      </c>
      <c r="E89" s="16" t="s">
        <v>668</v>
      </c>
      <c r="F89" s="16" t="s">
        <v>669</v>
      </c>
      <c r="G89" s="15" t="s">
        <v>63</v>
      </c>
      <c r="H89" s="16" t="s">
        <v>670</v>
      </c>
      <c r="I89" s="16" t="s">
        <v>671</v>
      </c>
      <c r="J89" s="16" t="s">
        <v>672</v>
      </c>
      <c r="K89" s="16"/>
      <c r="L89" s="15"/>
      <c r="M89" s="16"/>
      <c r="N89" s="16"/>
    </row>
  </sheetData>
  <autoFilter ref="A1:N65" xr:uid="{00000000-0009-0000-0000-000003000000}">
    <sortState xmlns:xlrd2="http://schemas.microsoft.com/office/spreadsheetml/2017/richdata2" ref="A2:N65">
      <sortCondition ref="A1:A65"/>
    </sortState>
  </autoFilter>
  <phoneticPr fontId="8" type="noConversion"/>
  <conditionalFormatting sqref="L2:L395">
    <cfRule type="cellIs" dxfId="2" priority="1" operator="equal">
      <formula>"PASS"</formula>
    </cfRule>
    <cfRule type="cellIs" dxfId="1" priority="2" operator="equal">
      <formula>"FAIL"</formula>
    </cfRule>
    <cfRule type="cellIs" dxfId="0" priority="3" operator="equal">
      <formula>"Chưa chạy"</formula>
    </cfRule>
  </conditionalFormatting>
  <dataValidations count="3">
    <dataValidation type="list" allowBlank="1" sqref="D2:D395" xr:uid="{00000000-0002-0000-0300-000000000000}">
      <formula1>"Happy path,Negative,Boundary,Alternative flow,Phi chức năng"</formula1>
      <formula2>0</formula2>
    </dataValidation>
    <dataValidation type="list" allowBlank="1" sqref="G2:G395" xr:uid="{00000000-0002-0000-0300-000001000000}">
      <formula1>"Cao,Trung,Thấp"</formula1>
      <formula2>0</formula2>
    </dataValidation>
    <dataValidation type="list" allowBlank="1" sqref="L2:L395" xr:uid="{00000000-0002-0000-0300-000002000000}">
      <formula1>"Chưa chạy,PASS,FAIL"</formula1>
      <formula2>0</formula2>
    </dataValidation>
  </dataValidations>
  <hyperlinks>
    <hyperlink ref="M55" r:id="rId1" xr:uid="{50F66AAF-B0D6-4015-AE81-202020A4C517}"/>
    <hyperlink ref="M56" r:id="rId2" xr:uid="{A82CC3A9-D097-4E0D-BC9C-E140A8961EB2}"/>
    <hyperlink ref="M57" r:id="rId3" xr:uid="{08D47271-6BFF-47CF-A4E0-50C3B7CBE0C6}"/>
    <hyperlink ref="M59" r:id="rId4" xr:uid="{9F651E7B-E02C-482C-A9C3-B48CE366708D}"/>
    <hyperlink ref="M60" r:id="rId5" xr:uid="{A864ECE4-9FCB-49E2-B4CA-C451B08DAD6B}"/>
    <hyperlink ref="M61" r:id="rId6" xr:uid="{A93B080E-95D8-407A-B7EF-3EF80B22C84E}"/>
    <hyperlink ref="M63" r:id="rId7" xr:uid="{6B3DF791-B948-4A8E-A3AC-C8A2DC934749}"/>
    <hyperlink ref="M2" r:id="rId8" xr:uid="{54F1630E-C33A-44D8-AF37-43D154BB6BAD}"/>
    <hyperlink ref="M3" r:id="rId9" xr:uid="{23368E01-5C93-453F-9C9A-97753332BDA4}"/>
    <hyperlink ref="M4" r:id="rId10" xr:uid="{052C7473-5CF6-451A-BECC-1E425E96FDD2}"/>
    <hyperlink ref="M8" r:id="rId11" xr:uid="{0DC140F7-DC54-47D0-8FE4-B05287842DF7}"/>
    <hyperlink ref="M9" r:id="rId12" xr:uid="{4D3489F9-5D17-474D-9677-E57F0217832E}"/>
    <hyperlink ref="M12" r:id="rId13" xr:uid="{3C114A65-7E2A-4CB9-BDE4-077F5E538DB2}"/>
    <hyperlink ref="M13" r:id="rId14" xr:uid="{4051FF90-4DDE-45C7-9B35-C9EC983A64EB}"/>
    <hyperlink ref="M14" r:id="rId15" xr:uid="{110BCE89-D2A5-455E-8067-5BD436DCF537}"/>
    <hyperlink ref="M30" r:id="rId16" xr:uid="{71A0AEE4-3217-432A-8E55-341AEA509C97}"/>
    <hyperlink ref="M31" r:id="rId17" xr:uid="{34ED325D-177A-4015-BC1E-E8EB6CA12D1E}"/>
    <hyperlink ref="M32" r:id="rId18" xr:uid="{285250BE-5FDB-4B41-BDEE-17FF6DD89EF3}"/>
    <hyperlink ref="M35" r:id="rId19" xr:uid="{293CF10D-69D5-48C8-9635-D73783E4072E}"/>
    <hyperlink ref="M36" r:id="rId20" xr:uid="{6CBC592C-DD18-4821-8CB9-2097F3876169}"/>
    <hyperlink ref="M11" r:id="rId21" xr:uid="{F04C9117-9C1E-4044-8F1D-E7B038BD9AB0}"/>
    <hyperlink ref="M20" r:id="rId22" xr:uid="{F99C49CE-6294-484F-B479-CC14CB9FCE20}"/>
    <hyperlink ref="M21" r:id="rId23" xr:uid="{80D4EF91-CE9C-4110-8AB1-EFE62AAAB626}"/>
    <hyperlink ref="M22" r:id="rId24" xr:uid="{3EE94D8E-A41D-4531-8A33-6FE8222ED015}"/>
    <hyperlink ref="M23" r:id="rId25" xr:uid="{75643E59-4472-4355-8654-FE4B15D48658}"/>
    <hyperlink ref="M58" r:id="rId26" xr:uid="{AE7C3925-3134-4861-A4E6-C7B68DE91762}"/>
    <hyperlink ref="M62" r:id="rId27" xr:uid="{3AA3DDD4-7123-4057-8041-CF1B902A3E1C}"/>
    <hyperlink ref="M64" r:id="rId28" xr:uid="{9606907E-556D-4CCC-82F8-9F50D0A02BF1}"/>
    <hyperlink ref="M65" r:id="rId29" xr:uid="{06E98682-1678-4789-922C-833F9D2B116B}"/>
    <hyperlink ref="M67" r:id="rId30" xr:uid="{EA70FFB8-7920-41C8-A0FA-18B4BE4C3BAD}"/>
    <hyperlink ref="M68" r:id="rId31" xr:uid="{4E4579C3-CEB9-40D9-A997-8179236FB2AF}"/>
    <hyperlink ref="M69" r:id="rId32" xr:uid="{84857B41-0C15-485C-A885-F39B7D4FBC60}"/>
    <hyperlink ref="M70" r:id="rId33" xr:uid="{7E380299-08A2-47C2-B4E7-DEBC1C8EA036}"/>
    <hyperlink ref="M71" r:id="rId34" xr:uid="{4A9FFBFF-EF0A-42D6-99E7-396BFFC02102}"/>
    <hyperlink ref="M73" r:id="rId35" xr:uid="{8122B6D1-AB2E-453D-ABBD-90F259A7ACE0}"/>
    <hyperlink ref="M74" r:id="rId36" xr:uid="{7A37FDCC-E43E-42FA-8644-5B26D127DEC4}"/>
    <hyperlink ref="M75" r:id="rId37" xr:uid="{457EC74B-61C4-4210-8AF2-CCA84EBCDB64}"/>
    <hyperlink ref="M77" r:id="rId38" xr:uid="{0B302733-E9E0-470F-8B09-8E1EBA4EB82D}"/>
    <hyperlink ref="M78" r:id="rId39" xr:uid="{1DF0E4BB-591D-41B6-9EE3-1EFAE674C8A9}"/>
    <hyperlink ref="M79" r:id="rId40" xr:uid="{F4F6776F-A5F1-4B24-A139-49EE3D1A8F59}"/>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5"/>
  <sheetViews>
    <sheetView zoomScale="90" zoomScaleNormal="90" workbookViewId="0">
      <pane xSplit="2" ySplit="1" topLeftCell="C2" activePane="bottomRight" state="frozen"/>
      <selection pane="topRight" activeCell="C1" sqref="C1"/>
      <selection pane="bottomLeft" activeCell="A3" sqref="A3"/>
      <selection pane="bottomRight" activeCell="B4" sqref="B4"/>
    </sheetView>
  </sheetViews>
  <sheetFormatPr defaultColWidth="8.7109375" defaultRowHeight="15" x14ac:dyDescent="0.25"/>
  <cols>
    <col min="1" max="1" width="16" customWidth="1"/>
    <col min="2" max="2" width="12" customWidth="1"/>
    <col min="3" max="3" width="40" customWidth="1"/>
    <col min="4" max="4" width="46" customWidth="1"/>
    <col min="5" max="6" width="34" customWidth="1"/>
    <col min="7" max="7" width="14" customWidth="1"/>
    <col min="8" max="8" width="12" customWidth="1"/>
    <col min="9" max="10" width="14" customWidth="1"/>
  </cols>
  <sheetData>
    <row r="1" spans="1:10" ht="31.5" customHeight="1" x14ac:dyDescent="0.25">
      <c r="A1" s="4" t="s">
        <v>423</v>
      </c>
      <c r="B1" s="4" t="s">
        <v>424</v>
      </c>
      <c r="C1" s="4" t="s">
        <v>425</v>
      </c>
      <c r="D1" s="4" t="s">
        <v>426</v>
      </c>
      <c r="E1" s="4" t="s">
        <v>427</v>
      </c>
      <c r="F1" s="4" t="s">
        <v>428</v>
      </c>
      <c r="G1" s="4" t="s">
        <v>429</v>
      </c>
      <c r="H1" s="8" t="s">
        <v>430</v>
      </c>
      <c r="I1" s="8" t="s">
        <v>431</v>
      </c>
      <c r="J1" s="8" t="s">
        <v>432</v>
      </c>
    </row>
    <row r="2" spans="1:10" x14ac:dyDescent="0.25">
      <c r="A2" s="1"/>
      <c r="B2" s="1"/>
      <c r="C2" s="1"/>
      <c r="D2" s="1"/>
      <c r="E2" s="1"/>
      <c r="F2" s="1"/>
      <c r="G2" s="1"/>
      <c r="H2" s="1"/>
      <c r="I2" s="1"/>
      <c r="J2" s="1"/>
    </row>
    <row r="3" spans="1:10" x14ac:dyDescent="0.25">
      <c r="A3" s="1"/>
      <c r="B3" s="1"/>
      <c r="C3" s="1"/>
      <c r="D3" s="1"/>
      <c r="E3" s="1"/>
      <c r="F3" s="1"/>
      <c r="G3" s="1"/>
      <c r="H3" s="1"/>
      <c r="I3" s="1"/>
      <c r="J3" s="1"/>
    </row>
    <row r="4" spans="1:10" x14ac:dyDescent="0.25">
      <c r="A4" s="1"/>
      <c r="B4" s="1"/>
      <c r="C4" s="1"/>
      <c r="D4" s="1"/>
      <c r="E4" s="1"/>
      <c r="F4" s="1"/>
      <c r="G4" s="1"/>
      <c r="H4" s="1"/>
      <c r="I4" s="1"/>
      <c r="J4" s="1"/>
    </row>
    <row r="5" spans="1:10" x14ac:dyDescent="0.25">
      <c r="A5" s="1"/>
      <c r="B5" s="1"/>
      <c r="C5" s="1"/>
      <c r="D5" s="1"/>
      <c r="E5" s="1"/>
      <c r="F5" s="1"/>
      <c r="G5" s="1"/>
      <c r="H5" s="1"/>
      <c r="I5" s="1"/>
      <c r="J5" s="1"/>
    </row>
  </sheetData>
  <dataValidations count="2">
    <dataValidation type="list" allowBlank="1" sqref="G2:G298" xr:uid="{00000000-0002-0000-0400-000000000000}">
      <formula1>"Critical,High,Medium,Low"</formula1>
      <formula2>0</formula2>
    </dataValidation>
    <dataValidation type="list" allowBlank="1" sqref="I2:I298"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5"/>
  <sheetViews>
    <sheetView showGridLines="0" zoomScale="90" zoomScaleNormal="90" workbookViewId="0">
      <selection activeCell="A2" sqref="A2:XFD2"/>
    </sheetView>
  </sheetViews>
  <sheetFormatPr defaultColWidth="8.7109375" defaultRowHeight="15" x14ac:dyDescent="0.25"/>
  <cols>
    <col min="1" max="1" width="18" customWidth="1"/>
    <col min="2" max="2" width="44" customWidth="1"/>
    <col min="3" max="3" width="14" customWidth="1"/>
    <col min="4" max="8" width="12" customWidth="1"/>
    <col min="9" max="9" width="16" customWidth="1"/>
    <col min="10" max="10" width="12" customWidth="1"/>
  </cols>
  <sheetData>
    <row r="1" spans="1:10" ht="18" x14ac:dyDescent="0.25">
      <c r="A1" s="2" t="s">
        <v>434</v>
      </c>
    </row>
    <row r="3" spans="1:10" ht="31.5" customHeight="1" x14ac:dyDescent="0.25">
      <c r="A3" s="4" t="s">
        <v>0</v>
      </c>
      <c r="B3" s="4" t="s">
        <v>1</v>
      </c>
      <c r="C3" s="4" t="s">
        <v>435</v>
      </c>
      <c r="D3" s="4" t="s">
        <v>436</v>
      </c>
      <c r="E3" s="4" t="s">
        <v>437</v>
      </c>
      <c r="F3" s="4" t="s">
        <v>438</v>
      </c>
      <c r="G3" s="4" t="s">
        <v>439</v>
      </c>
      <c r="H3" s="4" t="s">
        <v>44</v>
      </c>
      <c r="I3" s="4" t="s">
        <v>440</v>
      </c>
      <c r="J3" s="4" t="s">
        <v>441</v>
      </c>
    </row>
    <row r="4" spans="1:10" x14ac:dyDescent="0.25">
      <c r="A4" s="5" t="s">
        <v>2</v>
      </c>
      <c r="B4" s="1" t="s">
        <v>3</v>
      </c>
      <c r="C4" s="6" t="s">
        <v>4</v>
      </c>
      <c r="D4" s="6">
        <f>COUNTIF('Test Case'!$B:$B,$A4)</f>
        <v>11</v>
      </c>
      <c r="E4" s="6">
        <f t="shared" ref="E4:E11" si="0">F4+G4</f>
        <v>11</v>
      </c>
      <c r="F4" s="6">
        <f>COUNTIFS('Test Case'!$B:$B,$A4,'Test Case'!$L:$L,"PASS")</f>
        <v>11</v>
      </c>
      <c r="G4" s="6">
        <f>COUNTIFS('Test Case'!$B:$B,$A4,'Test Case'!$L:$L,"FAIL")</f>
        <v>0</v>
      </c>
      <c r="H4" s="6">
        <f t="shared" ref="H4:H11" si="1">D4-E4</f>
        <v>0</v>
      </c>
      <c r="I4" s="9">
        <f t="shared" ref="I4:I12" si="2">IF(E4=0,"-",F4/E4)</f>
        <v>1</v>
      </c>
      <c r="J4" s="6">
        <f>COUNTIFS('Bug Report'!$A:$A,"BUG-N5-*",'Bug Report'!$B:$B,"TC-"&amp;RIGHT($A4,2)&amp;"-*")</f>
        <v>0</v>
      </c>
    </row>
    <row r="5" spans="1:10" x14ac:dyDescent="0.25">
      <c r="A5" s="5" t="s">
        <v>5</v>
      </c>
      <c r="B5" s="1" t="s">
        <v>6</v>
      </c>
      <c r="C5" s="6" t="s">
        <v>4</v>
      </c>
      <c r="D5" s="6">
        <f>COUNTIF('Test Case'!$B:$B,$A5)</f>
        <v>10</v>
      </c>
      <c r="E5" s="6">
        <f t="shared" si="0"/>
        <v>10</v>
      </c>
      <c r="F5" s="6">
        <f>COUNTIFS('Test Case'!$B:$B,$A5,'Test Case'!$L:$L,"PASS")</f>
        <v>10</v>
      </c>
      <c r="G5" s="6">
        <f>COUNTIFS('Test Case'!$B:$B,$A5,'Test Case'!$L:$L,"FAIL")</f>
        <v>0</v>
      </c>
      <c r="H5" s="6">
        <f t="shared" si="1"/>
        <v>0</v>
      </c>
      <c r="I5" s="9">
        <f t="shared" si="2"/>
        <v>1</v>
      </c>
      <c r="J5" s="6">
        <f>COUNTIFS('Bug Report'!$A:$A,"BUG-N5-*",'Bug Report'!$B:$B,"TC-"&amp;RIGHT($A5,2)&amp;"-*")</f>
        <v>0</v>
      </c>
    </row>
    <row r="6" spans="1:10" x14ac:dyDescent="0.25">
      <c r="A6" s="5" t="s">
        <v>7</v>
      </c>
      <c r="B6" s="1" t="s">
        <v>8</v>
      </c>
      <c r="C6" s="6" t="s">
        <v>4</v>
      </c>
      <c r="D6" s="6">
        <f>COUNTIF('Test Case'!$B:$B,$A6)</f>
        <v>12</v>
      </c>
      <c r="E6" s="6">
        <f t="shared" si="0"/>
        <v>12</v>
      </c>
      <c r="F6" s="6">
        <f>COUNTIFS('Test Case'!$B:$B,$A6,'Test Case'!$L:$L,"PASS")</f>
        <v>12</v>
      </c>
      <c r="G6" s="6">
        <f>COUNTIFS('Test Case'!$B:$B,$A6,'Test Case'!$L:$L,"FAIL")</f>
        <v>0</v>
      </c>
      <c r="H6" s="6">
        <f t="shared" si="1"/>
        <v>0</v>
      </c>
      <c r="I6" s="9">
        <f t="shared" si="2"/>
        <v>1</v>
      </c>
      <c r="J6" s="6">
        <f>COUNTIFS('Bug Report'!$A:$A,"BUG-N5-*",'Bug Report'!$B:$B,"TC-"&amp;RIGHT($A6,2)&amp;"-*")</f>
        <v>0</v>
      </c>
    </row>
    <row r="7" spans="1:10" ht="25.5" x14ac:dyDescent="0.25">
      <c r="A7" s="5" t="s">
        <v>9</v>
      </c>
      <c r="B7" s="1" t="s">
        <v>10</v>
      </c>
      <c r="C7" s="6" t="s">
        <v>4</v>
      </c>
      <c r="D7" s="6">
        <f>COUNTIF('Test Case'!$B:$B,$A7)</f>
        <v>9</v>
      </c>
      <c r="E7" s="6">
        <f t="shared" si="0"/>
        <v>5</v>
      </c>
      <c r="F7" s="6">
        <f>COUNTIFS('Test Case'!$B:$B,$A7,'Test Case'!$L:$L,"PASS")</f>
        <v>5</v>
      </c>
      <c r="G7" s="6">
        <f>COUNTIFS('Test Case'!$B:$B,$A7,'Test Case'!$L:$L,"FAIL")</f>
        <v>0</v>
      </c>
      <c r="H7" s="6">
        <f t="shared" si="1"/>
        <v>4</v>
      </c>
      <c r="I7" s="9">
        <f t="shared" si="2"/>
        <v>1</v>
      </c>
      <c r="J7" s="6">
        <f>COUNTIFS('Bug Report'!$A:$A,"BUG-N5-*",'Bug Report'!$B:$B,"TC-"&amp;RIGHT($A7,2)&amp;"-*")</f>
        <v>0</v>
      </c>
    </row>
    <row r="8" spans="1:10" x14ac:dyDescent="0.25">
      <c r="A8" s="5" t="s">
        <v>11</v>
      </c>
      <c r="B8" s="1" t="s">
        <v>12</v>
      </c>
      <c r="C8" s="6" t="s">
        <v>13</v>
      </c>
      <c r="D8" s="6">
        <f>COUNTIF('Test Case'!$B:$B,$A8)</f>
        <v>5</v>
      </c>
      <c r="E8" s="6">
        <f t="shared" si="0"/>
        <v>0</v>
      </c>
      <c r="F8" s="6">
        <f>COUNTIFS('Test Case'!$B:$B,$A8,'Test Case'!$L:$L,"PASS")</f>
        <v>0</v>
      </c>
      <c r="G8" s="6">
        <f>COUNTIFS('Test Case'!$B:$B,$A8,'Test Case'!$L:$L,"FAIL")</f>
        <v>0</v>
      </c>
      <c r="H8" s="6">
        <f t="shared" si="1"/>
        <v>5</v>
      </c>
      <c r="I8" s="9" t="str">
        <f t="shared" si="2"/>
        <v>-</v>
      </c>
      <c r="J8" s="6">
        <f>COUNTIFS('Bug Report'!$A:$A,"BUG-N5-*",'Bug Report'!$B:$B,"TC-"&amp;RIGHT($A8,2)&amp;"-*")</f>
        <v>0</v>
      </c>
    </row>
    <row r="9" spans="1:10" x14ac:dyDescent="0.25">
      <c r="A9" s="5" t="s">
        <v>14</v>
      </c>
      <c r="B9" s="1" t="s">
        <v>15</v>
      </c>
      <c r="C9" s="6" t="s">
        <v>13</v>
      </c>
      <c r="D9" s="6">
        <f>COUNTIF('Test Case'!$B:$B,$A9)</f>
        <v>6</v>
      </c>
      <c r="E9" s="6">
        <f t="shared" si="0"/>
        <v>0</v>
      </c>
      <c r="F9" s="6">
        <f>COUNTIFS('Test Case'!$B:$B,$A9,'Test Case'!$L:$L,"PASS")</f>
        <v>0</v>
      </c>
      <c r="G9" s="6">
        <f>COUNTIFS('Test Case'!$B:$B,$A9,'Test Case'!$L:$L,"FAIL")</f>
        <v>0</v>
      </c>
      <c r="H9" s="6">
        <f t="shared" si="1"/>
        <v>6</v>
      </c>
      <c r="I9" s="9" t="str">
        <f t="shared" si="2"/>
        <v>-</v>
      </c>
      <c r="J9" s="6">
        <f>COUNTIFS('Bug Report'!$A:$A,"BUG-N5-*",'Bug Report'!$B:$B,"TC-"&amp;RIGHT($A9,2)&amp;"-*")</f>
        <v>0</v>
      </c>
    </row>
    <row r="10" spans="1:10" x14ac:dyDescent="0.25">
      <c r="A10" s="5" t="s">
        <v>16</v>
      </c>
      <c r="B10" s="1" t="s">
        <v>17</v>
      </c>
      <c r="C10" s="6" t="s">
        <v>13</v>
      </c>
      <c r="D10" s="6">
        <f>COUNTIF('Test Case'!$B:$B,$A10)</f>
        <v>5</v>
      </c>
      <c r="E10" s="6">
        <f t="shared" si="0"/>
        <v>0</v>
      </c>
      <c r="F10" s="6">
        <f>COUNTIFS('Test Case'!$B:$B,$A10,'Test Case'!$L:$L,"PASS")</f>
        <v>0</v>
      </c>
      <c r="G10" s="6">
        <f>COUNTIFS('Test Case'!$B:$B,$A10,'Test Case'!$L:$L,"FAIL")</f>
        <v>0</v>
      </c>
      <c r="H10" s="6">
        <f t="shared" si="1"/>
        <v>5</v>
      </c>
      <c r="I10" s="9" t="str">
        <f t="shared" si="2"/>
        <v>-</v>
      </c>
      <c r="J10" s="6">
        <f>COUNTIFS('Bug Report'!$A:$A,"BUG-N5-*",'Bug Report'!$B:$B,"TC-"&amp;RIGHT($A10,2)&amp;"-*")</f>
        <v>0</v>
      </c>
    </row>
    <row r="11" spans="1:10" x14ac:dyDescent="0.25">
      <c r="A11" s="5" t="s">
        <v>18</v>
      </c>
      <c r="B11" s="1" t="s">
        <v>19</v>
      </c>
      <c r="C11" s="6" t="s">
        <v>13</v>
      </c>
      <c r="D11" s="6">
        <f>COUNTIF('Test Case'!$B:$B,$A11)</f>
        <v>6</v>
      </c>
      <c r="E11" s="6">
        <f t="shared" si="0"/>
        <v>0</v>
      </c>
      <c r="F11" s="6">
        <f>COUNTIFS('Test Case'!$B:$B,$A11,'Test Case'!$L:$L,"PASS")</f>
        <v>0</v>
      </c>
      <c r="G11" s="6">
        <f>COUNTIFS('Test Case'!$B:$B,$A11,'Test Case'!$L:$L,"FAIL")</f>
        <v>0</v>
      </c>
      <c r="H11" s="6">
        <f t="shared" si="1"/>
        <v>6</v>
      </c>
      <c r="I11" s="9" t="str">
        <f t="shared" si="2"/>
        <v>-</v>
      </c>
      <c r="J11" s="6">
        <f>COUNTIFS('Bug Report'!$A:$A,"BUG-N5-*",'Bug Report'!$B:$B,"TC-"&amp;RIGHT($A11,2)&amp;"-*")</f>
        <v>0</v>
      </c>
    </row>
    <row r="12" spans="1:10" x14ac:dyDescent="0.25">
      <c r="A12" s="10" t="s">
        <v>442</v>
      </c>
      <c r="B12" s="3" t="s">
        <v>443</v>
      </c>
      <c r="C12" s="11"/>
      <c r="D12" s="10">
        <f>SUM(D4:D11)</f>
        <v>64</v>
      </c>
      <c r="E12" s="10">
        <f>SUM(E4:E11)</f>
        <v>38</v>
      </c>
      <c r="F12" s="10">
        <f>SUM(F4:F11)</f>
        <v>38</v>
      </c>
      <c r="G12" s="10">
        <f>SUM(G4:G11)</f>
        <v>0</v>
      </c>
      <c r="H12" s="10">
        <f>SUM(H4:H11)</f>
        <v>26</v>
      </c>
      <c r="I12" s="12">
        <f t="shared" si="2"/>
        <v>1</v>
      </c>
      <c r="J12" s="10">
        <f>SUM(J4:J11)</f>
        <v>0</v>
      </c>
    </row>
    <row r="14" spans="1:10" x14ac:dyDescent="0.25">
      <c r="A14" s="13" t="s">
        <v>444</v>
      </c>
    </row>
    <row r="15" spans="1:10" ht="31.5" customHeight="1" x14ac:dyDescent="0.25">
      <c r="A15" s="4" t="s">
        <v>24</v>
      </c>
      <c r="B15" s="4"/>
      <c r="C15" s="4"/>
      <c r="D15" s="4" t="s">
        <v>436</v>
      </c>
      <c r="E15" s="4" t="s">
        <v>438</v>
      </c>
      <c r="F15" s="4" t="s">
        <v>439</v>
      </c>
    </row>
    <row r="16" spans="1:10" x14ac:dyDescent="0.25">
      <c r="A16" s="7" t="s">
        <v>37</v>
      </c>
      <c r="B16" s="1"/>
      <c r="C16" s="1"/>
      <c r="D16" s="6">
        <f>COUNTIF('Test Case'!$D:$D,$A16)</f>
        <v>19</v>
      </c>
      <c r="E16" s="6">
        <f>COUNTIFS('Test Case'!$D:$D,$A16,'Test Case'!$L:$L,"PASS")</f>
        <v>10</v>
      </c>
      <c r="F16" s="6">
        <f>COUNTIFS('Test Case'!$D:$D,$A16,'Test Case'!$L:$L,"FAIL")</f>
        <v>0</v>
      </c>
    </row>
    <row r="17" spans="1:10" x14ac:dyDescent="0.25">
      <c r="A17" s="7" t="s">
        <v>54</v>
      </c>
      <c r="B17" s="1"/>
      <c r="C17" s="1"/>
      <c r="D17" s="6">
        <f>COUNTIF('Test Case'!$D:$D,$A17)</f>
        <v>28</v>
      </c>
      <c r="E17" s="6">
        <f>COUNTIFS('Test Case'!$D:$D,$A17,'Test Case'!$L:$L,"PASS")</f>
        <v>15</v>
      </c>
      <c r="F17" s="6">
        <f>COUNTIFS('Test Case'!$D:$D,$A17,'Test Case'!$L:$L,"FAIL")</f>
        <v>0</v>
      </c>
    </row>
    <row r="18" spans="1:10" x14ac:dyDescent="0.25">
      <c r="A18" s="7" t="s">
        <v>74</v>
      </c>
      <c r="B18" s="1"/>
      <c r="C18" s="1"/>
      <c r="D18" s="6">
        <f>COUNTIF('Test Case'!$D:$D,$A18)</f>
        <v>16</v>
      </c>
      <c r="E18" s="6">
        <f>COUNTIFS('Test Case'!$D:$D,$A18,'Test Case'!$L:$L,"PASS")</f>
        <v>12</v>
      </c>
      <c r="F18" s="6">
        <f>COUNTIFS('Test Case'!$D:$D,$A18,'Test Case'!$L:$L,"FAIL")</f>
        <v>0</v>
      </c>
    </row>
    <row r="19" spans="1:10" x14ac:dyDescent="0.25">
      <c r="A19" s="7" t="s">
        <v>20</v>
      </c>
      <c r="B19" s="1"/>
      <c r="C19" s="1"/>
      <c r="D19" s="6">
        <f>COUNTIF('Test Case'!$D:$D,$A19)</f>
        <v>24</v>
      </c>
      <c r="E19" s="6">
        <f>COUNTIFS('Test Case'!$D:$D,$A19,'Test Case'!$L:$L,"PASS")</f>
        <v>14</v>
      </c>
      <c r="F19" s="6">
        <f>COUNTIFS('Test Case'!$D:$D,$A19,'Test Case'!$L:$L,"FAIL")</f>
        <v>1</v>
      </c>
    </row>
    <row r="20" spans="1:10" x14ac:dyDescent="0.25">
      <c r="A20" s="7" t="s">
        <v>298</v>
      </c>
      <c r="B20" s="1"/>
      <c r="C20" s="1"/>
      <c r="D20" s="6">
        <f>COUNTIF('Test Case'!$D:$D,$A20)</f>
        <v>1</v>
      </c>
      <c r="E20" s="6">
        <f>COUNTIFS('Test Case'!$D:$D,$A20,'Test Case'!$L:$L,"PASS")</f>
        <v>0</v>
      </c>
      <c r="F20" s="6">
        <f>COUNTIFS('Test Case'!$D:$D,$A20,'Test Case'!$L:$L,"FAIL")</f>
        <v>0</v>
      </c>
    </row>
    <row r="23" spans="1:10" x14ac:dyDescent="0.25">
      <c r="A23" s="13" t="s">
        <v>445</v>
      </c>
    </row>
    <row r="24" spans="1:10" ht="31.5" customHeight="1" x14ac:dyDescent="0.25">
      <c r="A24" s="4" t="s">
        <v>446</v>
      </c>
      <c r="B24" s="4"/>
      <c r="C24" s="4"/>
      <c r="D24" s="4" t="s">
        <v>441</v>
      </c>
      <c r="E24" s="4" t="s">
        <v>447</v>
      </c>
      <c r="F24" s="4" t="s">
        <v>448</v>
      </c>
    </row>
    <row r="25" spans="1:10" x14ac:dyDescent="0.25">
      <c r="A25" s="7" t="s">
        <v>449</v>
      </c>
      <c r="B25" s="1"/>
      <c r="C25" s="1"/>
      <c r="D25" s="6">
        <f>COUNTIFS('Bug Report'!$A:$A,"BUG-N5-*",'Bug Report'!$G:$G,$A25)</f>
        <v>0</v>
      </c>
      <c r="E25" s="6">
        <f>COUNTIFS('Bug Report'!$A:$A,"BUG-N5-*",'Bug Report'!$G:$G,$A25,'Bug Report'!$I:$I,"Đã retest đạt")</f>
        <v>0</v>
      </c>
      <c r="F25" s="6">
        <f>D25-E25</f>
        <v>0</v>
      </c>
    </row>
    <row r="26" spans="1:10" x14ac:dyDescent="0.25">
      <c r="A26" s="7" t="s">
        <v>433</v>
      </c>
      <c r="B26" s="1"/>
      <c r="C26" s="1"/>
      <c r="D26" s="6">
        <f>COUNTIFS('Bug Report'!$A:$A,"BUG-N5-*",'Bug Report'!$G:$G,$A26)</f>
        <v>0</v>
      </c>
      <c r="E26" s="6">
        <f>COUNTIFS('Bug Report'!$A:$A,"BUG-N5-*",'Bug Report'!$G:$G,$A26,'Bug Report'!$I:$I,"Đã retest đạt")</f>
        <v>0</v>
      </c>
      <c r="F26" s="6">
        <f>D26-E26</f>
        <v>0</v>
      </c>
    </row>
    <row r="27" spans="1:10" x14ac:dyDescent="0.25">
      <c r="A27" s="7" t="s">
        <v>450</v>
      </c>
      <c r="B27" s="1"/>
      <c r="C27" s="1"/>
      <c r="D27" s="6">
        <f>COUNTIFS('Bug Report'!$A:$A,"BUG-N5-*",'Bug Report'!$G:$G,$A27)</f>
        <v>0</v>
      </c>
      <c r="E27" s="6">
        <f>COUNTIFS('Bug Report'!$A:$A,"BUG-N5-*",'Bug Report'!$G:$G,$A27,'Bug Report'!$I:$I,"Đã retest đạt")</f>
        <v>0</v>
      </c>
      <c r="F27" s="6">
        <f>D27-E27</f>
        <v>0</v>
      </c>
    </row>
    <row r="28" spans="1:10" x14ac:dyDescent="0.25">
      <c r="A28" s="7" t="s">
        <v>451</v>
      </c>
      <c r="B28" s="1"/>
      <c r="C28" s="1"/>
      <c r="D28" s="6">
        <f>COUNTIFS('Bug Report'!$A:$A,"BUG-N5-*",'Bug Report'!$G:$G,$A28)</f>
        <v>0</v>
      </c>
      <c r="E28" s="6">
        <f>COUNTIFS('Bug Report'!$A:$A,"BUG-N5-*",'Bug Report'!$G:$G,$A28,'Bug Report'!$I:$I,"Đã retest đạt")</f>
        <v>0</v>
      </c>
      <c r="F28" s="6">
        <f>D28-E28</f>
        <v>0</v>
      </c>
    </row>
    <row r="30" spans="1:10" x14ac:dyDescent="0.25">
      <c r="A30" s="13" t="s">
        <v>452</v>
      </c>
    </row>
    <row r="31" spans="1:10" ht="19.5" customHeight="1" x14ac:dyDescent="0.25">
      <c r="A31" s="3" t="s">
        <v>453</v>
      </c>
      <c r="B31" s="22" t="str">
        <f>"Đã chạy "&amp;E12&amp;" / "&amp;D12&amp;" TC; PASS "&amp;F12&amp;"; FAIL "&amp;G12&amp;"; tỉ lệ pass "&amp;IF(E12=0,"-",TEXT(F12/E12,"0.0%"))</f>
        <v>Đã chạy 38 / 64 TC; PASS 38; FAIL 0; tỉ lệ pass 100.0%</v>
      </c>
      <c r="C31" s="22"/>
      <c r="D31" s="22"/>
      <c r="E31" s="22"/>
      <c r="F31" s="22"/>
      <c r="G31" s="22"/>
      <c r="H31" s="22"/>
      <c r="I31" s="22"/>
      <c r="J31" s="22"/>
    </row>
    <row r="32" spans="1:10" ht="48" customHeight="1" x14ac:dyDescent="0.25">
      <c r="A32" s="3" t="s">
        <v>454</v>
      </c>
      <c r="B32" s="23"/>
      <c r="C32" s="23"/>
      <c r="D32" s="23"/>
      <c r="E32" s="23"/>
      <c r="F32" s="23"/>
      <c r="G32" s="23"/>
      <c r="H32" s="23"/>
      <c r="I32" s="23"/>
      <c r="J32" s="23"/>
    </row>
    <row r="33" spans="1:10" ht="48" customHeight="1" x14ac:dyDescent="0.25">
      <c r="A33" s="3" t="s">
        <v>455</v>
      </c>
      <c r="B33" s="23"/>
      <c r="C33" s="23"/>
      <c r="D33" s="23"/>
      <c r="E33" s="23"/>
      <c r="F33" s="23"/>
      <c r="G33" s="23"/>
      <c r="H33" s="23"/>
      <c r="I33" s="23"/>
      <c r="J33" s="23"/>
    </row>
    <row r="34" spans="1:10" ht="48" customHeight="1" x14ac:dyDescent="0.25">
      <c r="A34" s="3" t="s">
        <v>456</v>
      </c>
      <c r="B34" s="23"/>
      <c r="C34" s="23"/>
      <c r="D34" s="23"/>
      <c r="E34" s="23"/>
      <c r="F34" s="23"/>
      <c r="G34" s="23"/>
      <c r="H34" s="23"/>
      <c r="I34" s="23"/>
      <c r="J34" s="23"/>
    </row>
    <row r="35" spans="1:10" ht="48" customHeight="1" x14ac:dyDescent="0.25">
      <c r="A35" s="3" t="s">
        <v>457</v>
      </c>
      <c r="B35" s="23"/>
      <c r="C35" s="23"/>
      <c r="D35" s="23"/>
      <c r="E35" s="23"/>
      <c r="F35" s="23"/>
      <c r="G35" s="23"/>
      <c r="H35" s="23"/>
      <c r="I35" s="23"/>
      <c r="J35" s="23"/>
    </row>
  </sheetData>
  <mergeCells count="5">
    <mergeCell ref="B31:J31"/>
    <mergeCell ref="B32:J32"/>
    <mergeCell ref="B33:J33"/>
    <mergeCell ref="B34:J34"/>
    <mergeCell ref="B35:J3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vt:lpstr>
      <vt:lpstr>Bug Report</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2026-10-14T11:58:53Z</dcterms:modified>
  <dc:language>en-US</dc:language>
</cp:coreProperties>
</file>